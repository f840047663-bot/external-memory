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持仓盈亏联动分析" sheetId="9" state="visible" r:id="rId9"/>
    <sheet xmlns:r="http://schemas.openxmlformats.org/officeDocument/2006/relationships" name="信源校准分析" sheetId="10" state="visible" r:id="rId10"/>
    <sheet xmlns:r="http://schemas.openxmlformats.org/officeDocument/2006/relationships" name="深度分析报告" sheetId="11" state="visible" r:id="rId11"/>
    <sheet xmlns:r="http://schemas.openxmlformats.org/officeDocument/2006/relationships" name="系统机制" sheetId="12" state="visible" r:id="rId12"/>
    <sheet xmlns:r="http://schemas.openxmlformats.org/officeDocument/2006/relationships" name="虚P与待重仓" sheetId="13" state="visible" r:id="rId13"/>
    <sheet xmlns:r="http://schemas.openxmlformats.org/officeDocument/2006/relationships" name="资金分配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mbria"/>
      <charset val="1"/>
      <family val="0"/>
      <b val="1"/>
      <color rgb="FFFF0000"/>
      <sz val="11"/>
    </font>
    <font>
      <name val="Cambria"/>
      <charset val="1"/>
      <family val="0"/>
      <b val="1"/>
      <color rgb="FF0000FF"/>
      <sz val="11"/>
    </font>
    <font>
      <name val="Calibri"/>
      <charset val="1"/>
      <family val="2"/>
      <b val="1"/>
      <sz val="10"/>
    </font>
    <font>
      <name val="Arial"/>
      <charset val="1"/>
      <family val="0"/>
      <sz val="10"/>
    </font>
    <font>
      <name val="Calibri"/>
      <charset val="1"/>
      <family val="2"/>
      <sz val="10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2"/>
    </font>
    <font>
      <name val="Calibri"/>
      <charset val="1"/>
      <family val="2"/>
      <b val="1"/>
      <color rgb="FFFFD700"/>
      <sz val="14"/>
    </font>
    <font>
      <name val="Calibri"/>
      <charset val="1"/>
      <family val="2"/>
      <b val="1"/>
      <color rgb="FF00BFFF"/>
      <sz val="11"/>
    </font>
    <font>
      <name val="Arial"/>
      <charset val="1"/>
      <family val="0"/>
      <b val="1"/>
      <color rgb="FF00FF00"/>
      <sz val="11"/>
    </font>
    <font>
      <name val="Calibri"/>
      <charset val="1"/>
      <family val="2"/>
      <b val="1"/>
      <color rgb="FF00FF00"/>
      <sz val="11"/>
    </font>
    <font>
      <name val="Arial"/>
      <charset val="1"/>
      <family val="0"/>
      <b val="1"/>
      <color rgb="FF00BFFF"/>
      <sz val="11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sz val="11"/>
    </font>
    <font>
      <name val="Cambria"/>
      <charset val="1"/>
      <family val="0"/>
      <color rgb="FFFF0000"/>
      <sz val="9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charset val="1"/>
      <family val="0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2"/>
      <b val="1"/>
      <color rgb="FFFFD700"/>
      <sz val="13"/>
    </font>
    <font>
      <name val="Calibri"/>
      <charset val="1"/>
      <family val="2"/>
      <color rgb="FFAAAAAA"/>
      <sz val="9"/>
    </font>
    <font>
      <name val="Arial"/>
      <charset val="1"/>
      <family val="0"/>
      <color rgb="FFAAAAAA"/>
      <sz val="9"/>
    </font>
    <font>
      <name val="Arial"/>
      <b val="1"/>
      <color rgb="00FFD700"/>
      <sz val="11"/>
    </font>
    <font>
      <name val="Arial"/>
      <sz val="10"/>
    </font>
    <font>
      <name val="Arial"/>
      <b val="1"/>
      <sz val="10"/>
    </font>
    <font>
      <b val="1"/>
      <color rgb="00FFD700"/>
      <sz val="10"/>
    </font>
    <font>
      <sz val="9"/>
    </font>
    <font>
      <sz val="8"/>
    </font>
    <font>
      <b val="1"/>
      <color rgb="00FF6600"/>
    </font>
    <font>
      <b val="1"/>
      <color rgb="00FF0000"/>
    </font>
    <font>
      <b val="1"/>
      <color rgb="00FF0000"/>
      <sz val="11"/>
    </font>
  </fonts>
  <fills count="34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2F2F2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FFF"/>
      </patternFill>
    </fill>
    <fill>
      <patternFill patternType="solid">
        <fgColor rgb="FFFFFFCC"/>
        <bgColor rgb="FFFFF9C4"/>
      </patternFill>
    </fill>
    <fill>
      <patternFill patternType="solid">
        <fgColor rgb="FF1A1A2E"/>
        <bgColor rgb="FF16213E"/>
      </patternFill>
    </fill>
    <fill>
      <patternFill patternType="solid">
        <fgColor rgb="FFC00000"/>
        <bgColor rgb="FF8B0000"/>
      </patternFill>
    </fill>
    <fill>
      <patternFill patternType="solid">
        <fgColor rgb="FFFFEB9C"/>
        <bgColor rgb="FFFFF2CC"/>
      </patternFill>
    </fill>
    <fill>
      <patternFill patternType="solid">
        <fgColor rgb="FF0000CD"/>
        <bgColor rgb="FF0000FF"/>
      </patternFill>
    </fill>
    <fill>
      <patternFill patternType="solid">
        <fgColor rgb="FFD9E2F3"/>
        <bgColor rgb="FFD6DCE4"/>
      </patternFill>
    </fill>
    <fill>
      <patternFill patternType="solid">
        <fgColor rgb="FFC6EFCE"/>
        <bgColor rgb="FFCCFFCC"/>
      </patternFill>
    </fill>
    <fill>
      <patternFill patternType="solid">
        <fgColor rgb="FFFCD5B4"/>
        <bgColor rgb="FFFFC7CE"/>
      </patternFill>
    </fill>
    <fill>
      <patternFill patternType="solid">
        <fgColor rgb="FFFFC7CE"/>
        <bgColor rgb="FFFCD5B4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4472C4"/>
        <bgColor rgb="FF666666"/>
      </patternFill>
    </fill>
    <fill>
      <patternFill patternType="solid">
        <fgColor rgb="FF16213E"/>
        <bgColor rgb="FF1A1A2E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0A0A23"/>
        <bgColor rgb="FF000000"/>
      </patternFill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FFD700"/>
        <bgColor rgb="00FFD700"/>
      </patternFill>
    </fill>
    <fill>
      <patternFill patternType="solid">
        <fgColor rgb="00FFF0F0"/>
        <bgColor rgb="00FFF0F0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9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9" fillId="11" borderId="4" applyAlignment="1" pivotButton="0" quotePrefix="0" xfId="0">
      <alignment horizontal="general" vertical="top" wrapText="1"/>
    </xf>
    <xf numFmtId="0" fontId="10" fillId="11" borderId="4" applyAlignment="1" pivotButton="0" quotePrefix="0" xfId="0">
      <alignment horizontal="general" vertical="top" wrapText="1"/>
    </xf>
    <xf numFmtId="0" fontId="12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 wrapText="1"/>
    </xf>
    <xf numFmtId="0" fontId="13" fillId="12" borderId="0" applyAlignment="1" pivotButton="0" quotePrefix="0" xfId="0">
      <alignment horizontal="center" vertical="bottom"/>
    </xf>
    <xf numFmtId="0" fontId="14" fillId="13" borderId="0" applyAlignment="1" pivotButton="0" quotePrefix="0" xfId="0">
      <alignment horizontal="general" vertical="top" wrapText="1"/>
    </xf>
    <xf numFmtId="0" fontId="15" fillId="14" borderId="0" applyAlignment="1" pivotButton="0" quotePrefix="0" xfId="0">
      <alignment horizontal="center" vertical="bottom"/>
    </xf>
    <xf numFmtId="0" fontId="4" fillId="15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general" vertical="top" wrapText="1"/>
    </xf>
    <xf numFmtId="0" fontId="16" fillId="16" borderId="1" applyAlignment="1" pivotButton="0" quotePrefix="0" xfId="0">
      <alignment horizontal="general" vertical="top" wrapText="1"/>
    </xf>
    <xf numFmtId="0" fontId="16" fillId="17" borderId="1" applyAlignment="1" pivotButton="0" quotePrefix="0" xfId="0">
      <alignment horizontal="general" vertical="top" wrapText="1"/>
    </xf>
    <xf numFmtId="0" fontId="16" fillId="18" borderId="1" applyAlignment="1" pivotButton="0" quotePrefix="0" xfId="0">
      <alignment horizontal="general" vertical="top" wrapText="1"/>
    </xf>
    <xf numFmtId="0" fontId="4" fillId="15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6" borderId="1" applyAlignment="1" pivotButton="0" quotePrefix="0" xfId="0">
      <alignment horizontal="general" vertical="top" wrapText="1"/>
    </xf>
    <xf numFmtId="0" fontId="5" fillId="13" borderId="1" applyAlignment="1" pivotButton="0" quotePrefix="0" xfId="0">
      <alignment horizontal="general" vertical="top" wrapText="1"/>
    </xf>
    <xf numFmtId="0" fontId="15" fillId="19" borderId="0" applyAlignment="1" pivotButton="0" quotePrefix="0" xfId="0">
      <alignment horizontal="center" vertical="bottom"/>
    </xf>
    <xf numFmtId="0" fontId="4" fillId="15" borderId="0" applyAlignment="1" pivotButton="0" quotePrefix="0" xfId="0">
      <alignment horizontal="center" vertical="bottom"/>
    </xf>
    <xf numFmtId="0" fontId="16" fillId="13" borderId="1" applyAlignment="1" pivotButton="0" quotePrefix="0" xfId="0">
      <alignment horizontal="general" vertical="top" wrapText="1"/>
    </xf>
    <xf numFmtId="0" fontId="15" fillId="19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6" fillId="12" borderId="1" applyAlignment="1" pivotButton="0" quotePrefix="0" xfId="0">
      <alignment horizontal="general" vertical="top" wrapText="1"/>
    </xf>
    <xf numFmtId="0" fontId="16" fillId="15" borderId="1" applyAlignment="1" pivotButton="0" quotePrefix="0" xfId="0">
      <alignment horizontal="general" vertical="top" wrapText="1"/>
    </xf>
    <xf numFmtId="0" fontId="17" fillId="13" borderId="1" applyAlignment="1" pivotButton="0" quotePrefix="0" xfId="0">
      <alignment horizontal="center" vertical="bottom" wrapText="1"/>
    </xf>
    <xf numFmtId="0" fontId="15" fillId="2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13" borderId="0" applyAlignment="1" pivotButton="0" quotePrefix="0" xfId="0">
      <alignment horizontal="general" vertical="bottom"/>
    </xf>
    <xf numFmtId="0" fontId="4" fillId="18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7" fillId="13" borderId="0" applyAlignment="1" pivotButton="0" quotePrefix="0" xfId="0">
      <alignment horizontal="center" vertical="bottom" wrapText="1"/>
    </xf>
    <xf numFmtId="0" fontId="6" fillId="15" borderId="1" applyAlignment="1" pivotButton="0" quotePrefix="0" xfId="0">
      <alignment horizontal="general" vertical="top" wrapText="1"/>
    </xf>
    <xf numFmtId="0" fontId="4" fillId="1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top" wrapText="1"/>
    </xf>
    <xf numFmtId="0" fontId="20" fillId="14" borderId="0" applyAlignment="1" pivotButton="0" quotePrefix="0" xfId="0">
      <alignment horizontal="general" vertical="bottom"/>
    </xf>
    <xf numFmtId="0" fontId="5" fillId="15" borderId="1" applyAlignment="1" pivotButton="0" quotePrefix="0" xfId="0">
      <alignment horizontal="general" vertical="top" wrapText="1"/>
    </xf>
    <xf numFmtId="0" fontId="20" fillId="19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5" fillId="21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23" fillId="11" borderId="4" applyAlignment="1" pivotButton="0" quotePrefix="0" xfId="0">
      <alignment horizontal="general" vertical="top" wrapText="1"/>
    </xf>
    <xf numFmtId="0" fontId="24" fillId="11" borderId="4" applyAlignment="1" pivotButton="0" quotePrefix="0" xfId="0">
      <alignment horizontal="general" vertical="top" wrapText="1"/>
    </xf>
    <xf numFmtId="0" fontId="25" fillId="22" borderId="4" applyAlignment="1" pivotButton="0" quotePrefix="0" xfId="0">
      <alignment horizontal="general" vertical="top" wrapText="1"/>
    </xf>
    <xf numFmtId="0" fontId="11" fillId="22" borderId="4" applyAlignment="1" pivotButton="0" quotePrefix="0" xfId="0">
      <alignment horizontal="general" vertical="top" wrapText="1"/>
    </xf>
    <xf numFmtId="0" fontId="10" fillId="22" borderId="4" applyAlignment="1" pivotButton="0" quotePrefix="0" xfId="0">
      <alignment horizontal="general" vertical="top" wrapText="1"/>
    </xf>
    <xf numFmtId="0" fontId="26" fillId="22" borderId="4" applyAlignment="1" pivotButton="0" quotePrefix="0" xfId="0">
      <alignment horizontal="general" vertical="top" wrapText="1"/>
    </xf>
    <xf numFmtId="0" fontId="27" fillId="11" borderId="4" applyAlignment="1" pivotButton="0" quotePrefix="0" xfId="0">
      <alignment horizontal="general" vertical="top" wrapText="1"/>
    </xf>
    <xf numFmtId="0" fontId="30" fillId="21" borderId="1" applyAlignment="1" pivotButton="0" quotePrefix="0" xfId="0">
      <alignment horizontal="center" vertical="center" wrapText="1"/>
    </xf>
    <xf numFmtId="0" fontId="7" fillId="21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general" vertical="top" wrapText="1"/>
    </xf>
    <xf numFmtId="0" fontId="31" fillId="16" borderId="1" applyAlignment="1" pivotButton="0" quotePrefix="0" xfId="0">
      <alignment horizontal="general" vertical="top" wrapText="1"/>
    </xf>
    <xf numFmtId="0" fontId="31" fillId="18" borderId="1" applyAlignment="1" pivotButton="0" quotePrefix="0" xfId="0">
      <alignment horizontal="general" vertical="top" wrapText="1"/>
    </xf>
    <xf numFmtId="0" fontId="32" fillId="23" borderId="1" applyAlignment="1" pivotButton="0" quotePrefix="0" xfId="0">
      <alignment horizontal="center" vertical="center" wrapText="1"/>
    </xf>
    <xf numFmtId="0" fontId="6" fillId="24" borderId="0" applyAlignment="1" pivotButton="0" quotePrefix="0" xfId="0">
      <alignment horizontal="general" vertical="top" wrapText="1"/>
    </xf>
    <xf numFmtId="0" fontId="33" fillId="25" borderId="0" applyAlignment="1" pivotButton="0" quotePrefix="0" xfId="0">
      <alignment horizontal="general" vertical="bottom" wrapText="1"/>
    </xf>
    <xf numFmtId="0" fontId="34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5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34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0" fontId="36" fillId="26" borderId="1" applyAlignment="1" pivotButton="0" quotePrefix="0" xfId="0">
      <alignment horizontal="general" vertical="top" wrapText="1"/>
    </xf>
    <xf numFmtId="0" fontId="34" fillId="24" borderId="1" applyAlignment="1" pivotButton="0" quotePrefix="0" xfId="0">
      <alignment horizontal="general" vertical="top" wrapText="1"/>
    </xf>
    <xf numFmtId="0" fontId="7" fillId="24" borderId="1" applyAlignment="1" pivotButton="0" quotePrefix="0" xfId="0">
      <alignment horizontal="general" vertical="top" wrapText="1"/>
    </xf>
    <xf numFmtId="0" fontId="7" fillId="24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33" fillId="2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15" fillId="21" borderId="0" applyAlignment="1" pivotButton="0" quotePrefix="0" xfId="0">
      <alignment horizontal="center" vertical="bottom" wrapText="1"/>
    </xf>
    <xf numFmtId="0" fontId="0" fillId="27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43" fillId="21" borderId="1" applyAlignment="1" pivotButton="0" quotePrefix="0" xfId="0">
      <alignment horizontal="center" vertical="bottom" wrapText="1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4" fillId="28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 wrapText="1"/>
    </xf>
    <xf numFmtId="0" fontId="4" fillId="10" borderId="1" applyAlignment="1" pivotButton="0" quotePrefix="0" xfId="0">
      <alignment horizontal="general" vertical="bottom"/>
    </xf>
    <xf numFmtId="0" fontId="4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22" fillId="1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20" fillId="21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0" fillId="16" borderId="1" applyAlignment="1" pivotButton="0" quotePrefix="0" xfId="0">
      <alignment horizontal="center" vertical="bottom"/>
    </xf>
    <xf numFmtId="0" fontId="0" fillId="16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13" borderId="1" applyAlignment="1" pivotButton="0" quotePrefix="0" xfId="0">
      <alignment horizontal="center" vertical="bottom"/>
    </xf>
    <xf numFmtId="0" fontId="0" fillId="13" borderId="1" applyAlignment="1" pivotButton="0" quotePrefix="0" xfId="0">
      <alignment horizontal="general" vertical="top" wrapText="1"/>
    </xf>
    <xf numFmtId="0" fontId="0" fillId="18" borderId="1" applyAlignment="1" pivotButton="0" quotePrefix="0" xfId="0">
      <alignment horizontal="center" vertical="bottom"/>
    </xf>
    <xf numFmtId="0" fontId="0" fillId="18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22" fillId="15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top" wrapText="1"/>
    </xf>
    <xf numFmtId="0" fontId="0" fillId="13" borderId="0" applyAlignment="1" pivotButton="0" quotePrefix="0" xfId="0">
      <alignment horizontal="general" vertical="top" wrapText="1"/>
    </xf>
    <xf numFmtId="0" fontId="0" fillId="18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/>
    </xf>
    <xf numFmtId="0" fontId="12" fillId="13" borderId="0" applyAlignment="1" pivotButton="0" quotePrefix="0" xfId="0">
      <alignment horizontal="center" vertical="bottom" wrapText="1"/>
    </xf>
    <xf numFmtId="0" fontId="21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15" fillId="21" borderId="1" applyAlignment="1" pivotButton="0" quotePrefix="0" xfId="0">
      <alignment horizontal="center" vertical="bottom"/>
    </xf>
    <xf numFmtId="0" fontId="51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15" fillId="2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2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5" fillId="21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3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4" fillId="29" borderId="4" applyAlignment="1" pivotButton="0" quotePrefix="0" xfId="0">
      <alignment horizontal="general" vertical="top" wrapText="1"/>
    </xf>
    <xf numFmtId="0" fontId="11" fillId="29" borderId="4" applyAlignment="1" pivotButton="0" quotePrefix="0" xfId="0">
      <alignment horizontal="general" vertical="top" wrapText="1"/>
    </xf>
    <xf numFmtId="0" fontId="55" fillId="22" borderId="4" applyAlignment="1" pivotButton="0" quotePrefix="0" xfId="0">
      <alignment horizontal="general" vertical="top" wrapText="1"/>
    </xf>
    <xf numFmtId="0" fontId="56" fillId="22" borderId="4" applyAlignment="1" pivotButton="0" quotePrefix="0" xfId="0">
      <alignment horizontal="general" vertical="top" wrapText="1"/>
    </xf>
    <xf numFmtId="0" fontId="11" fillId="11" borderId="4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9" fillId="11" borderId="4" applyAlignment="1" pivotButton="0" quotePrefix="0" xfId="0">
      <alignment horizontal="general" vertical="top" wrapText="1"/>
    </xf>
    <xf numFmtId="0" fontId="10" fillId="11" borderId="4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8" pivotButton="0" quotePrefix="0" xfId="0"/>
    <xf numFmtId="0" fontId="12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 wrapText="1"/>
    </xf>
    <xf numFmtId="0" fontId="21" fillId="0" borderId="0" applyAlignment="1" pivotButton="0" quotePrefix="0" xfId="0">
      <alignment horizontal="general" vertical="bottom"/>
    </xf>
    <xf numFmtId="0" fontId="15" fillId="21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23" fillId="11" borderId="4" applyAlignment="1" pivotButton="0" quotePrefix="0" xfId="0">
      <alignment horizontal="general" vertical="top" wrapText="1"/>
    </xf>
    <xf numFmtId="0" fontId="24" fillId="11" borderId="4" applyAlignment="1" pivotButton="0" quotePrefix="0" xfId="0">
      <alignment horizontal="general" vertical="top" wrapText="1"/>
    </xf>
    <xf numFmtId="0" fontId="25" fillId="22" borderId="4" applyAlignment="1" pivotButton="0" quotePrefix="0" xfId="0">
      <alignment horizontal="general" vertical="top" wrapText="1"/>
    </xf>
    <xf numFmtId="0" fontId="11" fillId="22" borderId="4" applyAlignment="1" pivotButton="0" quotePrefix="0" xfId="0">
      <alignment horizontal="general" vertical="top" wrapText="1"/>
    </xf>
    <xf numFmtId="0" fontId="10" fillId="22" borderId="4" applyAlignment="1" pivotButton="0" quotePrefix="0" xfId="0">
      <alignment horizontal="general" vertical="top" wrapText="1"/>
    </xf>
    <xf numFmtId="0" fontId="26" fillId="22" borderId="4" applyAlignment="1" pivotButton="0" quotePrefix="0" xfId="0">
      <alignment horizontal="general" vertical="top" wrapText="1"/>
    </xf>
    <xf numFmtId="0" fontId="27" fillId="11" borderId="4" applyAlignment="1" pivotButton="0" quotePrefix="0" xfId="0">
      <alignment horizontal="general" vertical="top" wrapText="1"/>
    </xf>
    <xf numFmtId="0" fontId="30" fillId="21" borderId="1" applyAlignment="1" pivotButton="0" quotePrefix="0" xfId="0">
      <alignment horizontal="center" vertical="center" wrapText="1"/>
    </xf>
    <xf numFmtId="0" fontId="7" fillId="21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general" vertical="top" wrapText="1"/>
    </xf>
    <xf numFmtId="0" fontId="31" fillId="16" borderId="1" applyAlignment="1" pivotButton="0" quotePrefix="0" xfId="0">
      <alignment horizontal="general" vertical="top" wrapText="1"/>
    </xf>
    <xf numFmtId="0" fontId="31" fillId="1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32" fillId="23" borderId="1" applyAlignment="1" pivotButton="0" quotePrefix="0" xfId="0">
      <alignment horizontal="center" vertical="center" wrapText="1"/>
    </xf>
    <xf numFmtId="0" fontId="6" fillId="24" borderId="0" applyAlignment="1" pivotButton="0" quotePrefix="0" xfId="0">
      <alignment horizontal="general" vertical="top" wrapText="1"/>
    </xf>
    <xf numFmtId="0" fontId="33" fillId="25" borderId="0" applyAlignment="1" pivotButton="0" quotePrefix="0" xfId="0">
      <alignment horizontal="general" vertical="bottom" wrapText="1"/>
    </xf>
    <xf numFmtId="0" fontId="34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5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34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0" fontId="36" fillId="26" borderId="1" applyAlignment="1" pivotButton="0" quotePrefix="0" xfId="0">
      <alignment horizontal="general" vertical="top" wrapText="1"/>
    </xf>
    <xf numFmtId="0" fontId="34" fillId="24" borderId="1" applyAlignment="1" pivotButton="0" quotePrefix="0" xfId="0">
      <alignment horizontal="general" vertical="top" wrapText="1"/>
    </xf>
    <xf numFmtId="0" fontId="7" fillId="24" borderId="1" applyAlignment="1" pivotButton="0" quotePrefix="0" xfId="0">
      <alignment horizontal="general" vertical="top" wrapText="1"/>
    </xf>
    <xf numFmtId="0" fontId="7" fillId="24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33" fillId="2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15" fillId="21" borderId="0" applyAlignment="1" pivotButton="0" quotePrefix="0" xfId="0">
      <alignment horizontal="center" vertical="bottom" wrapText="1"/>
    </xf>
    <xf numFmtId="0" fontId="0" fillId="27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43" fillId="21" borderId="1" applyAlignment="1" pivotButton="0" quotePrefix="0" xfId="0">
      <alignment horizontal="center" vertical="bottom" wrapText="1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4" fillId="28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 wrapText="1"/>
    </xf>
    <xf numFmtId="0" fontId="4" fillId="10" borderId="1" applyAlignment="1" pivotButton="0" quotePrefix="0" xfId="0">
      <alignment horizontal="general" vertical="bottom"/>
    </xf>
    <xf numFmtId="0" fontId="4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4" fillId="13" borderId="0" applyAlignment="1" pivotButton="0" quotePrefix="0" xfId="0">
      <alignment horizontal="general" vertical="top" wrapText="1"/>
    </xf>
    <xf numFmtId="0" fontId="0" fillId="1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20" fillId="21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0" fillId="16" borderId="1" applyAlignment="1" pivotButton="0" quotePrefix="0" xfId="0">
      <alignment horizontal="center" vertical="bottom"/>
    </xf>
    <xf numFmtId="0" fontId="0" fillId="16" borderId="1" applyAlignment="1" pivotButton="0" quotePrefix="0" xfId="0">
      <alignment horizontal="general" vertical="top" wrapText="1"/>
    </xf>
    <xf numFmtId="0" fontId="0" fillId="13" borderId="1" applyAlignment="1" pivotButton="0" quotePrefix="0" xfId="0">
      <alignment horizontal="center" vertical="bottom"/>
    </xf>
    <xf numFmtId="0" fontId="0" fillId="13" borderId="1" applyAlignment="1" pivotButton="0" quotePrefix="0" xfId="0">
      <alignment horizontal="general" vertical="top" wrapText="1"/>
    </xf>
    <xf numFmtId="0" fontId="0" fillId="18" borderId="1" applyAlignment="1" pivotButton="0" quotePrefix="0" xfId="0">
      <alignment horizontal="center" vertical="bottom"/>
    </xf>
    <xf numFmtId="0" fontId="0" fillId="18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7" fillId="0" borderId="0" applyAlignment="1" pivotButton="0" quotePrefix="0" xfId="0">
      <alignment horizontal="general" vertical="bottom"/>
    </xf>
    <xf numFmtId="0" fontId="4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22" fillId="15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top" wrapText="1"/>
    </xf>
    <xf numFmtId="0" fontId="0" fillId="13" borderId="0" applyAlignment="1" pivotButton="0" quotePrefix="0" xfId="0">
      <alignment horizontal="general" vertical="top" wrapText="1"/>
    </xf>
    <xf numFmtId="0" fontId="0" fillId="18" borderId="0" applyAlignment="1" pivotButton="0" quotePrefix="0" xfId="0">
      <alignment horizontal="general" vertical="top" wrapText="1"/>
    </xf>
    <xf numFmtId="0" fontId="12" fillId="13" borderId="0" applyAlignment="1" pivotButton="0" quotePrefix="0" xfId="0">
      <alignment horizontal="center" vertical="bottom" wrapText="1"/>
    </xf>
    <xf numFmtId="0" fontId="50" fillId="0" borderId="0" applyAlignment="1" pivotButton="0" quotePrefix="0" xfId="0">
      <alignment horizontal="general" vertical="bottom"/>
    </xf>
    <xf numFmtId="0" fontId="15" fillId="21" borderId="1" applyAlignment="1" pivotButton="0" quotePrefix="0" xfId="0">
      <alignment horizontal="center" vertical="bottom"/>
    </xf>
    <xf numFmtId="0" fontId="51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15" fillId="21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general" vertical="bottom"/>
    </xf>
    <xf numFmtId="0" fontId="52" fillId="0" borderId="0" applyAlignment="1" pivotButton="0" quotePrefix="0" xfId="0">
      <alignment horizontal="general" vertical="bottom"/>
    </xf>
    <xf numFmtId="0" fontId="15" fillId="21" borderId="1" applyAlignment="1" pivotButton="0" quotePrefix="0" xfId="0">
      <alignment horizontal="general" vertical="bottom"/>
    </xf>
    <xf numFmtId="0" fontId="0" fillId="0" borderId="2" pivotButton="0" quotePrefix="0" xfId="0"/>
    <xf numFmtId="0" fontId="0" fillId="0" borderId="3" pivotButton="0" quotePrefix="0" xfId="0"/>
    <xf numFmtId="0" fontId="53" fillId="0" borderId="1" applyAlignment="1" pivotButton="0" quotePrefix="0" xfId="0">
      <alignment horizontal="general" vertical="bottom"/>
    </xf>
    <xf numFmtId="0" fontId="54" fillId="29" borderId="4" applyAlignment="1" pivotButton="0" quotePrefix="0" xfId="0">
      <alignment horizontal="general" vertical="top" wrapText="1"/>
    </xf>
    <xf numFmtId="0" fontId="11" fillId="29" borderId="4" applyAlignment="1" pivotButton="0" quotePrefix="0" xfId="0">
      <alignment horizontal="general" vertical="top" wrapText="1"/>
    </xf>
    <xf numFmtId="0" fontId="55" fillId="22" borderId="4" applyAlignment="1" pivotButton="0" quotePrefix="0" xfId="0">
      <alignment horizontal="general" vertical="top" wrapText="1"/>
    </xf>
    <xf numFmtId="0" fontId="56" fillId="22" borderId="4" applyAlignment="1" pivotButton="0" quotePrefix="0" xfId="0">
      <alignment horizontal="general" vertical="top" wrapText="1"/>
    </xf>
    <xf numFmtId="0" fontId="11" fillId="11" borderId="4" applyAlignment="1" pivotButton="0" quotePrefix="0" xfId="0">
      <alignment horizontal="general" vertical="top" wrapText="1"/>
    </xf>
    <xf numFmtId="0" fontId="23" fillId="11" borderId="4" applyAlignment="1" pivotButton="0" quotePrefix="0" xfId="0">
      <alignment horizontal="general" vertical="top" wrapText="1"/>
    </xf>
    <xf numFmtId="0" fontId="24" fillId="11" borderId="4" applyAlignment="1" pivotButton="0" quotePrefix="0" xfId="0">
      <alignment horizontal="general" vertical="top" wrapText="1"/>
    </xf>
    <xf numFmtId="0" fontId="25" fillId="22" borderId="4" applyAlignment="1" pivotButton="0" quotePrefix="0" xfId="0">
      <alignment horizontal="general" vertical="top" wrapText="1"/>
    </xf>
    <xf numFmtId="0" fontId="11" fillId="22" borderId="4" applyAlignment="1" pivotButton="0" quotePrefix="0" xfId="0">
      <alignment horizontal="general" vertical="top" wrapText="1"/>
    </xf>
    <xf numFmtId="0" fontId="10" fillId="22" borderId="4" applyAlignment="1" pivotButton="0" quotePrefix="0" xfId="0">
      <alignment horizontal="general" vertical="top" wrapText="1"/>
    </xf>
    <xf numFmtId="0" fontId="26" fillId="22" borderId="4" applyAlignment="1" pivotButton="0" quotePrefix="0" xfId="0">
      <alignment horizontal="general" vertical="top" wrapText="1"/>
    </xf>
    <xf numFmtId="0" fontId="27" fillId="11" borderId="4" applyAlignment="1" pivotButton="0" quotePrefix="0" xfId="0">
      <alignment horizontal="general" vertical="top" wrapText="1"/>
    </xf>
    <xf numFmtId="0" fontId="13" fillId="12" borderId="0" applyAlignment="1" pivotButton="0" quotePrefix="0" xfId="0">
      <alignment horizontal="center" vertical="bottom"/>
    </xf>
    <xf numFmtId="0" fontId="14" fillId="13" borderId="0" applyAlignment="1" pivotButton="0" quotePrefix="0" xfId="0">
      <alignment horizontal="general" vertical="top" wrapText="1"/>
    </xf>
    <xf numFmtId="0" fontId="15" fillId="14" borderId="0" applyAlignment="1" pivotButton="0" quotePrefix="0" xfId="0">
      <alignment horizontal="center" vertical="bottom"/>
    </xf>
    <xf numFmtId="0" fontId="4" fillId="15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general" vertical="top" wrapText="1"/>
    </xf>
    <xf numFmtId="0" fontId="16" fillId="16" borderId="1" applyAlignment="1" pivotButton="0" quotePrefix="0" xfId="0">
      <alignment horizontal="general" vertical="top" wrapText="1"/>
    </xf>
    <xf numFmtId="0" fontId="16" fillId="17" borderId="1" applyAlignment="1" pivotButton="0" quotePrefix="0" xfId="0">
      <alignment horizontal="general" vertical="top" wrapText="1"/>
    </xf>
    <xf numFmtId="0" fontId="16" fillId="18" borderId="1" applyAlignment="1" pivotButton="0" quotePrefix="0" xfId="0">
      <alignment horizontal="general" vertical="top" wrapText="1"/>
    </xf>
    <xf numFmtId="0" fontId="4" fillId="15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6" borderId="1" applyAlignment="1" pivotButton="0" quotePrefix="0" xfId="0">
      <alignment horizontal="general" vertical="top" wrapText="1"/>
    </xf>
    <xf numFmtId="0" fontId="5" fillId="13" borderId="1" applyAlignment="1" pivotButton="0" quotePrefix="0" xfId="0">
      <alignment horizontal="general" vertical="top" wrapText="1"/>
    </xf>
    <xf numFmtId="0" fontId="15" fillId="19" borderId="0" applyAlignment="1" pivotButton="0" quotePrefix="0" xfId="0">
      <alignment horizontal="center" vertical="bottom"/>
    </xf>
    <xf numFmtId="0" fontId="16" fillId="13" borderId="1" applyAlignment="1" pivotButton="0" quotePrefix="0" xfId="0">
      <alignment horizontal="general" vertical="top" wrapText="1"/>
    </xf>
    <xf numFmtId="0" fontId="15" fillId="19" borderId="1" applyAlignment="1" pivotButton="0" quotePrefix="0" xfId="0">
      <alignment horizontal="center" vertical="bottom"/>
    </xf>
    <xf numFmtId="0" fontId="16" fillId="12" borderId="1" applyAlignment="1" pivotButton="0" quotePrefix="0" xfId="0">
      <alignment horizontal="general" vertical="top" wrapText="1"/>
    </xf>
    <xf numFmtId="0" fontId="16" fillId="15" borderId="1" applyAlignment="1" pivotButton="0" quotePrefix="0" xfId="0">
      <alignment horizontal="general" vertical="top" wrapText="1"/>
    </xf>
    <xf numFmtId="0" fontId="17" fillId="13" borderId="1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15" fillId="2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13" borderId="0" applyAlignment="1" pivotButton="0" quotePrefix="0" xfId="0">
      <alignment horizontal="general" vertical="bottom"/>
    </xf>
    <xf numFmtId="0" fontId="4" fillId="18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7" fillId="13" borderId="0" applyAlignment="1" pivotButton="0" quotePrefix="0" xfId="0">
      <alignment horizontal="center" vertical="bottom" wrapText="1"/>
    </xf>
    <xf numFmtId="0" fontId="6" fillId="15" borderId="1" applyAlignment="1" pivotButton="0" quotePrefix="0" xfId="0">
      <alignment horizontal="general" vertical="top" wrapText="1"/>
    </xf>
    <xf numFmtId="0" fontId="4" fillId="1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8" fillId="9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20" fillId="14" borderId="0" applyAlignment="1" pivotButton="0" quotePrefix="0" xfId="0">
      <alignment horizontal="general" vertical="bottom"/>
    </xf>
    <xf numFmtId="0" fontId="5" fillId="15" borderId="1" applyAlignment="1" pivotButton="0" quotePrefix="0" xfId="0">
      <alignment horizontal="general" vertical="top" wrapText="1"/>
    </xf>
    <xf numFmtId="0" fontId="20" fillId="19" borderId="0" applyAlignment="1" pivotButton="0" quotePrefix="0" xfId="0">
      <alignment horizontal="general" vertical="bottom"/>
    </xf>
    <xf numFmtId="0" fontId="57" fillId="30" borderId="11" applyAlignment="1" pivotButton="0" quotePrefix="0" xfId="0">
      <alignment vertical="top" wrapText="1"/>
    </xf>
    <xf numFmtId="0" fontId="0" fillId="0" borderId="14" pivotButton="0" quotePrefix="0" xfId="0"/>
    <xf numFmtId="0" fontId="0" fillId="0" borderId="15" pivotButton="0" quotePrefix="0" xfId="0"/>
    <xf numFmtId="0" fontId="58" fillId="30" borderId="11" applyAlignment="1" pivotButton="0" quotePrefix="0" xfId="0">
      <alignment vertical="top" wrapText="1"/>
    </xf>
    <xf numFmtId="0" fontId="59" fillId="30" borderId="11" applyAlignment="1" pivotButton="0" quotePrefix="0" xfId="0">
      <alignment vertical="top" wrapText="1"/>
    </xf>
    <xf numFmtId="0" fontId="58" fillId="31" borderId="11" applyAlignment="1" pivotButton="0" quotePrefix="0" xfId="0">
      <alignment vertical="top" wrapText="1"/>
    </xf>
    <xf numFmtId="0" fontId="60" fillId="0" borderId="0" pivotButton="0" quotePrefix="0" xfId="0"/>
    <xf numFmtId="0" fontId="61" fillId="0" borderId="0" pivotButton="0" quotePrefix="0" xfId="0"/>
    <xf numFmtId="0" fontId="62" fillId="0" borderId="0" applyAlignment="1" pivotButton="0" quotePrefix="0" xfId="0">
      <alignment vertical="top" wrapText="1"/>
    </xf>
    <xf numFmtId="0" fontId="62" fillId="0" borderId="0" applyAlignment="1" pivotButton="0" quotePrefix="0" xfId="0">
      <alignment wrapText="1"/>
    </xf>
    <xf numFmtId="0" fontId="64" fillId="0" borderId="0" pivotButton="0" quotePrefix="0" xfId="0"/>
    <xf numFmtId="0" fontId="63" fillId="32" borderId="0" pivotButton="0" quotePrefix="0" xfId="0"/>
    <xf numFmtId="0" fontId="65" fillId="33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808000"/>
      <rgbColor rgb="FF800080"/>
      <rgbColor rgb="FF009900"/>
      <rgbColor rgb="FFB4C6E7"/>
      <rgbColor rgb="FFFFF2FF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00FFFF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4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4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4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4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4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5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5" authorId="0" shapeId="0">
      <text>
        <t>信息源：闭眼看世界抖音2026-05-20
核心内容：日本过境领空地缘风险
推理链：东亚地缘紧张→避险情绪↑
P值调整：+1pp</t>
      </text>
    </comment>
    <comment ref="D5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5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5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5" authorId="0" shapeId="0">
      <text>
        <t>信息源：闭眼看世界抖音2026-05-27
核心内容：地缘升级→黄金受益
P值调整：+2pp
影响持仓：稀金+2pp</t>
      </text>
    </comment>
    <comment ref="A6" authorId="0" shapeId="0">
      <text>
        <t>信息源：沃什政策背景分析
核心内容：沃什偏鹰派立场→缩表+不降息
推理链：利率维持高位→成长股估值承压</t>
      </text>
    </comment>
    <comment ref="D6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6" authorId="0" shapeId="0">
      <text>
        <t>信息源：蒋宇飞商业2026-05-29
核心内容：用产业思维抓住科技龙头
推理链：AI产业链确定性高→存储/算力核心
P值调整：+1pp</t>
      </text>
    </comment>
    <comment ref="G6" authorId="0" shapeId="0">
      <text>
        <t>信息源：宋鸿兵抖音2026-05-27
核心内容：地缘风险→黄金
P值调整：+1pp</t>
      </text>
    </comment>
    <comment ref="A7" authorId="0" shapeId="0">
      <text>
        <t>信息源：宋鸿兵2026-05-19
核心内容：利率风暴席卷全球，股债双杀只是开始
推理链：美债收益率↑→全球流动性收紧
P值调整：-3pp</t>
      </text>
    </comment>
    <comment ref="D7" authorId="0" shapeId="0">
      <text>
        <t>信息源：南半球聊财经2026-05-23
核心内容：宏观经济数据全景分析
推理链：数据确认经济下行压力</t>
      </text>
    </comment>
    <comment ref="F7" authorId="0" shapeId="0">
      <text>
        <t>信息源：拿幸·AI启示录2026-05-29
核心内容：Claude Code自愈功能
推理链：AI Agent加速→算力需求↑
P值调整：+1pp</t>
      </text>
    </comment>
    <comment ref="A8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8" authorId="0" shapeId="0">
      <text>
        <t>信息源：无知半人2026-05-22
核心内容：前4月住户贷款狂减4902亿
推理链：数据确认去杠杆</t>
      </text>
    </comment>
    <comment ref="F8" authorId="0" shapeId="0">
      <text>
        <t>信息源：周鸿祎2026-05-28
核心内容："算力决定速度，内存决定高度"
推理链：内存=AI核心瓶颈→存储受益
P值调整：+1pp</t>
      </text>
    </comment>
    <comment ref="D9" authorId="0" shapeId="0">
      <text>
        <t>信息源：古都闲云2026-05-19
核心内容：4月新增贷款出现历史罕见的负值
推理链：信贷收缩→经济下行压力↑</t>
      </text>
    </comment>
    <comment ref="F9" authorId="0" shapeId="0">
      <text>
        <t>信息源：AI处理日志2026-05-27
核心内容：AI相关分析汇总
P值调整：+2pp</t>
      </text>
    </comment>
    <comment ref="D10" authorId="0" shapeId="0">
      <text>
        <t>信息源：古都闲云2026-05-19
核心内容：中国4月社会消费品零售总额同比+0.2%
推理链：消费极度疲弱→去杠杆确认
P值调整：-2pp</t>
      </text>
    </comment>
    <comment ref="F10" authorId="0" shapeId="0">
      <text>
        <t>信息源：蒋宇飞抖音2026-05-27
核心内容：芯片相关分析
P值调整：0pp（已计入其他事件）</t>
      </text>
    </comment>
    <comment ref="F11" authorId="0" shapeId="0">
      <text>
        <t>信息源：付鹏抖音2026-05-27
核心内容：芯片相关分析
P值调整：0pp（已计入其他事件）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22" authorId="0" shapeId="0">
      <text>
        <t>【虚P标注】
蒋宇飞观点：AI基建时代持续10年是个人判断，非已发生事实。国产算力长城也是预期而非现实。</t>
      </text>
    </comment>
    <comment ref="B22" authorId="0" shapeId="0">
      <text>
        <t>【电池+2pp】
维力能：全球储能电芯出货第二+智能电表9年第一+大圆柱电池+海外订单爆发</t>
      </text>
    </comment>
    <comment ref="C22" authorId="0" shapeId="0">
      <text>
        <t>【恒科-3pp】
付鹏：香港套利闭环不可持续+北水南下导致港元拆借利率偏低+硬核科技偏好下降</t>
      </text>
    </comment>
    <comment ref="D22" authorId="0" shapeId="0">
      <text>
        <t>【虚P标注】
【虚P分析】
信源1-付鹏"美国猪周期40年启示"=观点类比，非中国已发生事实
信源2-伊娃17/18亏损=事实（财报数据）
信源3-行业关注=事实
信源4-厄尔尼诺=事实
结论：4个信源中2个是事实2个是观点。建议主P只加事实部分+2pp，观点部分进虚P+2pp</t>
      </text>
    </comment>
    <comment ref="G22" authorId="0" shapeId="0">
      <text>
        <t>【虚P标注】
付鹏+宋鸿兵观点：居民去杠杆周期是宏观判断。虽然数据支持（住户贷款-4902亿），但"对银行不利"是推论而非事实。银行板块实际盘面42只全线飘红，与观点矛盾。</t>
      </text>
    </comment>
    <comment ref="A24" authorId="0" shapeId="0">
      <text>
        <t>【P'作废】
霍尔木兹P'已作废：美军轰炸伊朗后海峡通航，预测未兑现</t>
      </text>
    </comment>
    <comment ref="A29" authorId="0" shapeId="0">
      <text>
        <t>【虚P标注】
付鹏观点：存储=AI基建是逻辑推演，非价格/数据确认</t>
      </text>
    </comment>
    <comment ref="A30" authorId="0" shapeId="0">
      <text>
        <t>【来源】宋鸿兵抖音6/3 09:00《摩尔定律物理+经济双重极限》+ 蒋宇飞多条
【逻辑链】宋鸿兵：摩尔定律走到物理极限(2nm以下成本飙升15倍)+经济极限(7nm以下技术红利从普惠变垄断)→芯片行业范式转换→堆叠/存储成为新方向。蒋宇飞交叉验证：韬定律=折叠堆叠，2.5D市场600亿→翻好几倍
【当前状态】新叙事：芯片从摩尔定律时代进入堆叠时代
【对持仓影响】芯片+1pp(事实信号)，+2pp(虚P跨博主共识)</t>
      </text>
    </comment>
    <comment ref="A31" authorId="0" shapeId="0">
      <text>
        <t>【来源】孙正义+黄仁勋 2026-06-06同步发声
【逻辑链】孙正义抛出3个预言：①AI规模=互联网10-50倍 ②当前泡沫只是杯壁一点点 ③下一个万亿机会是机器人。黄仁勋罕见同步发声确认AI长期叙事。
两人同时发声→不是巧合→产业顶级大佬达成共识→AI叙事长期有效
→ 即使有回调/泡沫，暴跌只是过程不是结局（参考2000互联网泡沫后续暴涨）
→ 对芯片/存储/AI基建构成长期虚P支撑
【当前状态】新叙事，虚P强度拉满
【对持仓影响】🟢芯片(020628)强烈利好 / 🟢电池(018926)中性(新能源vsAI) / 🟡恒科(012349)间接利好
【操作建议】虚P不参与事实准确率评估但参与P值计算。+8pp虚P拉高芯片长期预期，但短期仍看利率/估值压制。保持观望等回调加仓。
【P值调整依据】+5pp(孙正义3预言权重高，万亿级叙事) +3pp(黄仁勋同步确认，双人互锁)</t>
      </text>
    </comment>
    <comment ref="B31" authorId="0" shapeId="0">
      <text>
        <t>【来源】宋鸿兵抖音6/3 18:35视频《美伊谈判：决胜负要看经济战》
【逻辑链】美伊军事战陷入僵局→双方都不愿大打→谈判久拖不决→石油库存逼近红线→油价/通胀飙升→美债收益率走高→金融市场的急性病vs伊朗实体经济的慢性病→时间站在伊朗一边→经济战成为决定性力量
【当前状态】升级：从军事冲突升级为经济战维度
【对持仓影响】电池+2pp(能源转型)、恒科-1pp(利率压制)、有色/原油维持高P值
【核心判断】6-8月是经济战转折点，油价可能继续上行</t>
      </text>
    </comment>
    <comment ref="C31" authorId="0" shapeId="0">
      <text>
        <t>【来源】宋鸿兵抖音6/3 18:35视频《美伊谈判：决胜负要看经济战》
【逻辑链】美伊军事战陷入僵局→双方都不愿大打→谈判久拖不决→石油库存逼近红线→油价/通胀飙升→美债收益率走高→金融市场的急性病vs伊朗实体经济的慢性病→时间站在伊朗一边→经济战成为决定性力量
【当前状态】升级：从军事冲突升级为经济战维度
【对持仓影响】电池+2pp(能源转型)、恒科-1pp(利率压制)、有色/原油维持高P值
【核心判断】6-8月是经济战转折点，油价可能继续上行</t>
      </text>
    </comment>
    <comment ref="D31" authorId="0" shapeId="0">
      <text>
        <t>【来源】伊娃抖音6/3黑猪养殖系列+生猪贸易5/28《仔猪价格硬挺》
【逻辑链】仔猪价格420元硬挺→猪企宁可借钱也不降价→说明不恐慌性淘汰母猪→供给收缩是有序的→猪周期底部在夯实
【当前状态】维持：猪周期底部信号持续
【对持仓影响】养殖+1pp，供给端有序收缩</t>
      </text>
    </comment>
    <comment ref="G31" authorId="0" shapeId="0">
      <text>
        <t>【来源】环中星鉴知乎6/3 16:35《欧洲央行称黄金替代美债成全球官方储备第一大资产》
【逻辑链】欧洲央行报告：黄金占全球官方储备27%首次超越美债22%→去美元化加速→长期利好黄金/有色
【当前状态】新叙事：储备资产格局历史性转变
【对持仓影响】有色/稀有金属长期叙事强化，但短期P值不变（已是虚P高位）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66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68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69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70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71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73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74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3"/>
  <sheetViews>
    <sheetView showFormulas="0" showGridLines="1" showRowColHeaders="1" showZeros="1" rightToLeft="0" tabSelected="0" showOutlineSymbols="1" defaultGridColor="1" view="normal" topLeftCell="A289" colorId="64" zoomScale="100" zoomScaleNormal="100" zoomScalePageLayoutView="100" workbookViewId="0">
      <selection pane="topLeft" activeCell="C278" activeCellId="0" sqref="C278"/>
    </sheetView>
  </sheetViews>
  <sheetFormatPr baseColWidth="8" defaultColWidth="8.6171875" defaultRowHeight="15" customHeight="0" zeroHeight="0" outlineLevelRow="0"/>
  <cols>
    <col width="18" customWidth="1" style="332" min="1" max="8"/>
  </cols>
  <sheetData>
    <row r="1" ht="16.5" customHeight="1" s="183">
      <c r="A1" s="334" t="inlineStr">
        <is>
          <t>📊 持仓总看板 (2026-06-07)</t>
        </is>
      </c>
    </row>
    <row r="2" ht="16.5" customHeight="1" s="183">
      <c r="A2" s="334" t="inlineStr">
        <is>
          <t>🔴 宏观传导链</t>
        </is>
      </c>
    </row>
    <row r="3" ht="15" customHeight="1" s="183">
      <c r="A3" s="185" t="inlineStr">
        <is>
          <t>【利率】</t>
        </is>
      </c>
      <c r="C3" s="186" t="inlineStr">
        <is>
          <t>【地缘】</t>
        </is>
      </c>
      <c r="D3" s="187" t="inlineStr">
        <is>
          <t>【经济】</t>
        </is>
      </c>
      <c r="E3" s="188" t="inlineStr">
        <is>
          <t>【能源】</t>
        </is>
      </c>
      <c r="F3" s="189" t="inlineStr">
        <is>
          <t>【产业】</t>
        </is>
      </c>
      <c r="G3" s="190" t="inlineStr">
        <is>
          <t>【避险】</t>
        </is>
      </c>
    </row>
    <row r="4" ht="95.25" customHeight="1" s="183">
      <c r="A4" s="195" t="inlineStr">
        <is>
          <t>2026-06-02 宋鸿兵：沃什就任美联储主席，特朗普施压降息vs独立性博弈；30年美债破5%、10年破4.5%双红线</t>
        </is>
      </c>
      <c r="C4" s="195" t="inlineStr">
        <is>
          <t>2026-05-29 闭眼看世界 - 俄罗斯对基辅最猛烈袭击</t>
        </is>
      </c>
      <c r="D4" s="195" t="inlineStr">
        <is>
          <t>2026-06-02 付鹏+宋鸿兵：居民部门去杠杆周期确认（08-18加杠杆→现在全面去杠杆）</t>
        </is>
      </c>
      <c r="E4" s="195" t="inlineStr">
        <is>
          <t>2026-06-02 宋鸿兵：霍尔木兹封锁3个月，全球有效原油库存仅8.1亿桶，市场误判油价回落
2026-06-03 宋鸿兵+雪佛龙+埃克森：OECD库存6月触红线</t>
        </is>
      </c>
      <c r="F4" s="195" t="inlineStr">
        <is>
          <t>2026-06-02 芯片：蒋宇飞AI基建10年+国产算力长城（升腾+长鑫+deepseek）+玻璃基板5-10年赛道</t>
        </is>
      </c>
      <c r="G4" s="195" t="inlineStr">
        <is>
          <t>2026-05-28 Peter Schiff · 美债/美元/黄金极端观点（豆包分析版）</t>
        </is>
      </c>
    </row>
    <row r="5" ht="95.25" customHeight="1" s="183">
      <c r="A5" s="195" t="inlineStr">
        <is>
          <t>2026-05-28 知乎高赞 — 为什么达利欧说「债市是所有市场的支柱」？</t>
        </is>
      </c>
      <c r="C5" s="195" t="inlineStr">
        <is>
          <t>2026-05-20 抖音：闭眼看世界 — 日本过境领空地缘风险</t>
        </is>
      </c>
      <c r="D5" s="195" t="inlineStr">
        <is>
          <t>2026-06-02 无知半人：前4月住户贷款狂减4902亿（去杠杆数据确认）</t>
        </is>
      </c>
      <c r="E5" s="195" t="inlineStr">
        <is>
          <t>2026-05-29 宋鸿兵 - 美国金融市场对油价极其乐观</t>
        </is>
      </c>
      <c r="F5" s="195" t="inlineStr">
        <is>
          <t>🔴【跨博主强信号】养殖：付鹏美国猪周期40年启示+伊娃17/18亏损+行业关注+厄尔尼诺</t>
        </is>
      </c>
      <c r="G5" s="195" t="inlineStr">
        <is>
          <t>2026-05-27 闭眼看世界（抖音）→ 黄金+2pp</t>
        </is>
      </c>
    </row>
    <row r="6" ht="48" customHeight="1" s="183">
      <c r="A6" s="195" t="inlineStr">
        <is>
          <t>2026-05-22 沃什的政策背景</t>
        </is>
      </c>
      <c r="D6" s="195" t="inlineStr">
        <is>
          <t>2026-05-29 付鹏 - 所有人都在去杠杆的时候就没有人过得好了</t>
        </is>
      </c>
      <c r="E6" s="332" t="inlineStr">
        <is>
          <t>2026-06-01 正信期货：中东再度紧张，霍尔木兹通航风险大，多头趋势未改</t>
        </is>
      </c>
      <c r="F6" s="195" t="inlineStr">
        <is>
          <t>2026-05-29 蒋宇飞商业 - 用产业思维抓住科技龙头</t>
        </is>
      </c>
      <c r="G6" s="195" t="inlineStr">
        <is>
          <t>2026-05-27 宋鸿兵（抖音）→ 黄金+1pp</t>
        </is>
      </c>
    </row>
    <row r="7" ht="63.75" customHeight="1" s="183">
      <c r="A7" s="195" t="inlineStr">
        <is>
          <t>2026-05-19 宋鸿兵：利率风暴席卷全球，股债双杀只是开始</t>
        </is>
      </c>
      <c r="D7" s="195" t="inlineStr">
        <is>
          <t>2026-05-23 南半球聊财经：宏观经济数据全景</t>
        </is>
      </c>
      <c r="E7" s="332" t="inlineStr">
        <is>
          <t>2026-06-01 摩根大通：海峡重开需等'痛到极点'，短期难解</t>
        </is>
      </c>
      <c r="F7" s="195" t="inlineStr">
        <is>
          <t>2026-05-29 拿幸·AI启示录 - Claude Code自愈功能</t>
        </is>
      </c>
      <c r="G7" s="195" t="inlineStr">
        <is>
          <t>2026-05-23 第四梯队：对冲/避险配置 →黄金确定性越高</t>
        </is>
      </c>
    </row>
    <row r="8" ht="63.75" customHeight="1" s="183">
      <c r="A8" s="195" t="inlineStr">
        <is>
          <t>2026-05-18 利率风暴的根因 →霍尔木兹海峡封锁→能源价格飙升→通胀预期上升→央行被迫加息</t>
        </is>
      </c>
      <c r="D8" s="195" t="inlineStr">
        <is>
          <t>2026-05-22 宏观层：前4月住户贷款狂减4902亿（无知半人）</t>
        </is>
      </c>
      <c r="E8" s="332" t="inlineStr">
        <is>
          <t>2026-05-29 日本面粉涨24%：中东→油价→消费品传导链确认</t>
        </is>
      </c>
      <c r="F8" s="195" t="inlineStr">
        <is>
          <t>2026-05-28 周鸿祎 · "算力决定速度，内存决定高度"</t>
        </is>
      </c>
      <c r="G8" s="195" t="inlineStr">
        <is>
          <t>2026-05-23 ⑨ 黄金 ⭐⭐⭐⭐⭐⭐（对冲之王）</t>
        </is>
      </c>
    </row>
    <row r="9" ht="63.75" customHeight="1" s="183">
      <c r="A9" s="332" t="inlineStr">
        <is>
          <t>2026-06-06 09:00</t>
        </is>
      </c>
      <c r="B9" s="332" t="inlineStr">
        <is>
          <t>养殖ETF</t>
        </is>
      </c>
      <c r="C9" s="332" t="inlineStr">
        <is>
          <t>52%→53%</t>
        </is>
      </c>
      <c r="D9" s="195" t="inlineStr">
        <is>
          <t>+1pp</t>
        </is>
      </c>
      <c r="E9" s="332" t="inlineStr">
        <is>
          <t>淘汰母猪加快+融资恶化→底部确认</t>
        </is>
      </c>
      <c r="F9" s="195" t="inlineStr">
        <is>
          <t>持仓不动</t>
        </is>
      </c>
      <c r="G9" s="195" t="inlineStr">
        <is>
          <t>2026-05-21 新浪：黄金深V反转 +1.67%，但前日暴跌84美元</t>
        </is>
      </c>
    </row>
    <row r="10" ht="48" customHeight="1" s="183">
      <c r="A10" s="332" t="inlineStr">
        <is>
          <t>2026-06-06 09:00</t>
        </is>
      </c>
      <c r="B10" s="332" t="inlineStr">
        <is>
          <t>芯片/恒科</t>
        </is>
      </c>
      <c r="C10" s="332" t="inlineStr">
        <is>
          <t>57%/48%</t>
        </is>
      </c>
      <c r="D10" s="195" t="inlineStr">
        <is>
          <t>0pp</t>
        </is>
      </c>
      <c r="E10" s="332" t="inlineStr">
        <is>
          <t>AI叙事强化vs估值过高信号抵消</t>
        </is>
      </c>
      <c r="F10" s="195" t="inlineStr">
        <is>
          <t>持仓不动</t>
        </is>
      </c>
    </row>
    <row r="11" ht="48" customHeight="1" s="183">
      <c r="A11" s="332" t="inlineStr">
        <is>
          <t>2026-06-06 09:00</t>
        </is>
      </c>
      <c r="B11" s="332" t="inlineStr">
        <is>
          <t>银行</t>
        </is>
      </c>
      <c r="C11" s="332" t="inlineStr">
        <is>
          <t>54%</t>
        </is>
      </c>
      <c r="D11" s="332" t="inlineStr">
        <is>
          <t>0pp</t>
        </is>
      </c>
      <c r="E11" s="332" t="inlineStr">
        <is>
          <t>非农超预期=宏观冲击但已定价</t>
        </is>
      </c>
      <c r="F11" s="195" t="inlineStr">
        <is>
          <t>持仓不动</t>
        </is>
      </c>
    </row>
    <row r="12" ht="16.5" customHeight="1" s="183">
      <c r="A12" s="355" t="inlineStr">
        <is>
          <t>🔥 叙事主线（四条）</t>
        </is>
      </c>
      <c r="B12" s="356" t="n"/>
      <c r="C12" s="356" t="n"/>
      <c r="D12" s="356" t="n"/>
      <c r="E12" s="356" t="n"/>
      <c r="F12" s="356" t="n"/>
      <c r="G12" s="356" t="n"/>
      <c r="H12" s="357" t="n"/>
    </row>
    <row r="13" ht="15" customHeight="1" s="183">
      <c r="B13" s="358" t="inlineStr">
        <is>
          <t>①美国国债/利率危机 ⚠️升级：从"慢性走钢丝"→"9月死线"【来源：宋鸿兵6.3视频】。国债39万亿+30年美债破5%+10年破4.5%，沃什上任但市场用脚投票</t>
        </is>
      </c>
      <c r="C13" s="356" t="n"/>
      <c r="D13" s="356" t="n"/>
      <c r="E13" s="356" t="n"/>
      <c r="F13" s="356" t="n"/>
      <c r="G13" s="356" t="n"/>
      <c r="H13" s="357" t="n"/>
    </row>
    <row r="14" ht="15" customHeight="1" s="183">
      <c r="B14" s="358" t="inlineStr">
        <is>
          <t>②霍尔木兹/能源危机 🔴重大升级：封锁3个月，有效原油库存8.1亿桶，OECD最早6月触红线。雪佛龙CEO+埃克森VP双重警告，85%投资者押注回落=集体幻觉</t>
        </is>
      </c>
      <c r="C14" s="356" t="n"/>
      <c r="D14" s="356" t="n"/>
      <c r="E14" s="356" t="n"/>
      <c r="F14" s="356" t="n"/>
      <c r="G14" s="356" t="n"/>
      <c r="H14" s="357" t="n"/>
    </row>
    <row r="15" ht="15" customHeight="1" s="183">
      <c r="B15" s="358" t="inlineStr">
        <is>
          <t>③中国去杠杆分化 维持：08-18加杠杆→全面去杠杆，对猪周期是加速器，对AI是倒逼器。无新催化</t>
        </is>
      </c>
      <c r="C15" s="356" t="n"/>
      <c r="D15" s="356" t="n"/>
      <c r="E15" s="356" t="n"/>
      <c r="F15" s="356" t="n"/>
      <c r="G15" s="356" t="n"/>
      <c r="H15" s="357" t="n"/>
    </row>
    <row r="16" ht="16.5" customHeight="1" s="183">
      <c r="A16" s="359" t="inlineStr">
        <is>
          <t>④</t>
        </is>
      </c>
      <c r="B16" s="358" t="inlineStr">
        <is>
          <t>④AI非泡沫·死也要死在AI里 🟢升级【来源：蒋宇飞，顶级置信度】。"死都要死在AI里面"——AI不是泡沫，每一块芯片都在被点亮(应用端爆发)，与2000年互联网泡沫(光纤交换机狂建但无应用)本质不同。黄仁勋+孙正义交叉确认。拉长时间AI绝对没有问题。</t>
        </is>
      </c>
      <c r="C16" s="356" t="n"/>
      <c r="D16" s="356" t="n"/>
      <c r="E16" s="356" t="n"/>
      <c r="F16" s="356" t="n"/>
      <c r="G16" s="356" t="n"/>
      <c r="H16" s="357" t="n"/>
    </row>
    <row r="17" ht="16.5" customHeight="1" s="183">
      <c r="A17" s="358" t="inlineStr">
        <is>
          <t>⚡ AI投资阶段切换指导原则（顶级置信度）</t>
        </is>
      </c>
      <c r="B17" s="356" t="n"/>
      <c r="C17" s="356" t="n"/>
      <c r="D17" s="356" t="n"/>
      <c r="E17" s="356" t="n"/>
      <c r="F17" s="356" t="n"/>
      <c r="G17" s="356" t="n"/>
      <c r="H17" s="357" t="n"/>
    </row>
    <row r="18" ht="16.5" customHeight="1" s="183">
      <c r="A18" s="358" t="inlineStr">
        <is>
          <t>AI前半程=投硬件（芯片/算力/堆叠封装）→ 已验证。AI后半程=布局软件/应用端 → 多个信源交叉确认，逻辑高度自洽。</t>
        </is>
      </c>
      <c r="B18" s="356" t="n"/>
      <c r="C18" s="356" t="n"/>
      <c r="D18" s="356" t="n"/>
      <c r="E18" s="356" t="n"/>
      <c r="F18" s="356" t="n"/>
      <c r="G18" s="356" t="n"/>
      <c r="H18" s="357" t="n"/>
    </row>
    <row r="19" ht="16.5" customHeight="1" s="183">
      <c r="A19" s="202" t="n"/>
    </row>
    <row r="20" ht="30" customHeight="1" s="183">
      <c r="A20" s="355" t="inlineStr">
        <is>
          <t>📊 持仓状态速查表</t>
        </is>
      </c>
      <c r="B20" s="356" t="n"/>
      <c r="C20" s="356" t="n"/>
      <c r="D20" s="356" t="n"/>
      <c r="E20" s="356" t="n"/>
      <c r="F20" s="356" t="n"/>
      <c r="G20" s="356" t="n"/>
      <c r="H20" s="357" t="n"/>
    </row>
    <row r="21" ht="16.5" customHeight="1" s="183">
      <c r="A21" s="359" t="inlineStr">
        <is>
          <t>持仓</t>
        </is>
      </c>
      <c r="B21" s="359" t="inlineStr">
        <is>
          <t>代码</t>
        </is>
      </c>
      <c r="C21" s="359" t="inlineStr">
        <is>
          <t>当前P</t>
        </is>
      </c>
      <c r="D21" s="359" t="inlineStr">
        <is>
          <t>有效P</t>
        </is>
      </c>
      <c r="E21" s="359" t="inlineStr">
        <is>
          <t>虚P</t>
        </is>
      </c>
      <c r="F21" s="359" t="inlineStr">
        <is>
          <t>利率折价</t>
        </is>
      </c>
      <c r="G21" s="359" t="inlineStr">
        <is>
          <t>方向</t>
        </is>
      </c>
      <c r="H21" s="359" t="inlineStr">
        <is>
          <t>操作建议</t>
        </is>
      </c>
    </row>
    <row r="22" ht="16.5" customHeight="1" s="183">
      <c r="A22" s="358" t="inlineStr">
        <is>
          <t>芯片020628</t>
        </is>
      </c>
      <c r="B22" s="358" t="inlineStr">
        <is>
          <t>C1</t>
        </is>
      </c>
      <c r="C22" s="358" t="inlineStr">
        <is>
          <t>41</t>
        </is>
      </c>
      <c r="D22" s="358" t="inlineStr">
        <is>
          <t>35</t>
        </is>
      </c>
      <c r="E22" s="358" t="inlineStr">
        <is>
          <t>虚P+2pp</t>
        </is>
      </c>
      <c r="F22" s="358" t="inlineStr">
        <is>
          <t>利率折价-6pp</t>
        </is>
      </c>
      <c r="G22" s="358" t="inlineStr">
        <is>
          <t>🟡中性</t>
        </is>
      </c>
      <c r="H22" s="358" t="inlineStr">
        <is>
          <t>观望</t>
        </is>
      </c>
    </row>
    <row r="23" ht="16.5" customHeight="1" s="183">
      <c r="A23" s="358" t="inlineStr">
        <is>
          <t>电池018926</t>
        </is>
      </c>
      <c r="B23" s="358" t="inlineStr">
        <is>
          <t>C2</t>
        </is>
      </c>
      <c r="C23" s="358" t="inlineStr">
        <is>
          <t>65</t>
        </is>
      </c>
      <c r="D23" s="358" t="inlineStr">
        <is>
          <t>59</t>
        </is>
      </c>
      <c r="E23" s="358" t="inlineStr">
        <is>
          <t>虚P无</t>
        </is>
      </c>
      <c r="F23" s="358" t="inlineStr">
        <is>
          <t>利率折价-6pp</t>
        </is>
      </c>
      <c r="G23" s="358" t="inlineStr">
        <is>
          <t>🟢偏多</t>
        </is>
      </c>
      <c r="H23" s="358" t="inlineStr">
        <is>
          <t>持有/关注加仓</t>
        </is>
      </c>
    </row>
    <row r="24" ht="16.5" customHeight="1" s="183">
      <c r="A24" s="358" t="inlineStr">
        <is>
          <t>恒科012349</t>
        </is>
      </c>
      <c r="B24" s="358" t="inlineStr">
        <is>
          <t>C3</t>
        </is>
      </c>
      <c r="C24" s="358" t="inlineStr">
        <is>
          <t>27</t>
        </is>
      </c>
      <c r="D24" s="358" t="inlineStr">
        <is>
          <t>21</t>
        </is>
      </c>
      <c r="E24" s="358" t="inlineStr">
        <is>
          <t>虚P无</t>
        </is>
      </c>
      <c r="F24" s="358" t="inlineStr">
        <is>
          <t>利率折价-6pp</t>
        </is>
      </c>
      <c r="G24" s="358" t="inlineStr">
        <is>
          <t>🔴偏空</t>
        </is>
      </c>
      <c r="H24" s="358" t="inlineStr">
        <is>
          <t>减仓/清仓</t>
        </is>
      </c>
    </row>
    <row r="25" ht="16.5" customHeight="1" s="183">
      <c r="A25" s="358" t="inlineStr">
        <is>
          <t>养殖014415</t>
        </is>
      </c>
      <c r="B25" s="358" t="inlineStr">
        <is>
          <t>C4</t>
        </is>
      </c>
      <c r="C25" s="358" t="inlineStr">
        <is>
          <t>70</t>
        </is>
      </c>
      <c r="D25" s="358" t="inlineStr">
        <is>
          <t>70</t>
        </is>
      </c>
      <c r="E25" s="358" t="inlineStr">
        <is>
          <t>虚P+4pp</t>
        </is>
      </c>
      <c r="F25" s="358" t="inlineStr">
        <is>
          <t>利率折价0pp</t>
        </is>
      </c>
      <c r="G25" s="358" t="inlineStr">
        <is>
          <t>🟢偏多</t>
        </is>
      </c>
      <c r="H25" s="358" t="inlineStr">
        <is>
          <t>持有/关注加仓</t>
        </is>
      </c>
    </row>
    <row r="26" ht="15" customHeight="1" s="183">
      <c r="A26" s="358" t="inlineStr">
        <is>
          <t>有色004433</t>
        </is>
      </c>
      <c r="B26" s="358" t="inlineStr">
        <is>
          <t>C5</t>
        </is>
      </c>
      <c r="C26" s="358" t="inlineStr">
        <is>
          <t>39</t>
        </is>
      </c>
      <c r="D26" s="358" t="inlineStr">
        <is>
          <t>35</t>
        </is>
      </c>
      <c r="E26" s="358" t="inlineStr">
        <is>
          <t>虚P无</t>
        </is>
      </c>
      <c r="F26" s="358" t="inlineStr">
        <is>
          <t>利率折价-4pp</t>
        </is>
      </c>
      <c r="G26" s="358" t="inlineStr">
        <is>
          <t>🔴偏空</t>
        </is>
      </c>
      <c r="H26" s="358" t="inlineStr">
        <is>
          <t>减仓/清仓</t>
        </is>
      </c>
    </row>
    <row r="27" ht="16.5" customHeight="1" s="183">
      <c r="A27" s="358" t="inlineStr">
        <is>
          <t>稀金014111</t>
        </is>
      </c>
      <c r="B27" s="358" t="inlineStr">
        <is>
          <t>C6</t>
        </is>
      </c>
      <c r="C27" s="358" t="inlineStr">
        <is>
          <t>40</t>
        </is>
      </c>
      <c r="D27" s="358" t="inlineStr">
        <is>
          <t>36</t>
        </is>
      </c>
      <c r="E27" s="358" t="inlineStr">
        <is>
          <t>虚P无</t>
        </is>
      </c>
      <c r="F27" s="358" t="inlineStr">
        <is>
          <t>利率折价-4pp</t>
        </is>
      </c>
      <c r="G27" s="358" t="inlineStr">
        <is>
          <t>🟡中性</t>
        </is>
      </c>
      <c r="H27" s="358" t="inlineStr">
        <is>
          <t>观望</t>
        </is>
      </c>
    </row>
    <row r="28" ht="15" customHeight="1" s="183">
      <c r="A28" s="358" t="inlineStr">
        <is>
          <t>银行001595</t>
        </is>
      </c>
      <c r="B28" s="358" t="inlineStr">
        <is>
          <t>C7</t>
        </is>
      </c>
      <c r="C28" s="358" t="inlineStr">
        <is>
          <t>47</t>
        </is>
      </c>
      <c r="D28" s="358" t="inlineStr">
        <is>
          <t>47</t>
        </is>
      </c>
      <c r="E28" s="358" t="inlineStr">
        <is>
          <t>虚P-2pp</t>
        </is>
      </c>
      <c r="F28" s="358" t="inlineStr">
        <is>
          <t>利率折价0pp</t>
        </is>
      </c>
      <c r="G28" s="358" t="inlineStr">
        <is>
          <t>🟡中性</t>
        </is>
      </c>
      <c r="H28" s="358" t="inlineStr">
        <is>
          <t>观望</t>
        </is>
      </c>
    </row>
    <row r="29" ht="15" customHeight="1" s="183">
      <c r="A29" s="358" t="inlineStr">
        <is>
          <t>--- 6/6 监控小结 ---</t>
        </is>
      </c>
      <c r="B29" s="358" t="inlineStr">
        <is>
          <t>C8</t>
        </is>
      </c>
      <c r="C29" s="358" t="inlineStr">
        <is>
          <t>None</t>
        </is>
      </c>
      <c r="D29" s="358" t="inlineStr">
        <is>
          <t>-</t>
        </is>
      </c>
      <c r="E29" s="358" t="inlineStr">
        <is>
          <t>-</t>
        </is>
      </c>
      <c r="F29" s="358" t="inlineStr">
        <is>
          <t>利率折价-4pp</t>
        </is>
      </c>
      <c r="G29" s="358" t="inlineStr">
        <is>
          <t>🟡中性</t>
        </is>
      </c>
      <c r="H29" s="358" t="inlineStr">
        <is>
          <t>观望</t>
        </is>
      </c>
    </row>
    <row r="30" ht="15" customHeight="1" s="183">
      <c r="A30" s="205" t="inlineStr">
        <is>
          <t>养殖: +1pp → 淘汰母猪加快+融资恶化→底部确认</t>
        </is>
      </c>
    </row>
    <row r="31" ht="15" customHeight="1" s="183">
      <c r="A31" s="205" t="inlineStr">
        <is>
          <t>芯片: 0pp → AI长期利好vs估值过高抵消</t>
        </is>
      </c>
    </row>
    <row r="32" ht="15" customHeight="1" s="183">
      <c r="A32" s="205" t="inlineStr">
        <is>
          <t>恒科: 0pp → AI叙事强化非事件</t>
        </is>
      </c>
    </row>
    <row r="33" ht="16.5" customHeight="1" s="183">
      <c r="A33" s="205" t="inlineStr">
        <is>
          <t>银行: 0pp → 非农黑五已部分定价</t>
        </is>
      </c>
    </row>
    <row r="34" ht="16.5" customHeight="1" s="183">
      <c r="A34" s="205" t="inlineStr">
        <is>
          <t>结论: 持仓不动。养殖左侧继续等待。</t>
        </is>
      </c>
    </row>
    <row r="35" ht="16.5" customHeight="1" s="183">
      <c r="A35" s="332" t="inlineStr">
        <is>
          <t>--- 6/7 监控小结 ---</t>
        </is>
      </c>
    </row>
    <row r="36" ht="16.5" customHeight="1" s="183">
      <c r="A36" s="332" t="inlineStr">
        <is>
          <t>养殖: +1pp → 集团"养一天赔一天"全体重抛售→去产能加速→周期底确认</t>
        </is>
      </c>
    </row>
    <row r="37" ht="16.5" customHeight="1" s="183">
      <c r="A37" s="332" t="inlineStr">
        <is>
          <t>芯片: 0pp → AI基建长期利好(付鹏)vs摩尔定律瓶颈(宋鸿兵)抵消</t>
        </is>
      </c>
    </row>
    <row r="38" ht="16.5" customHeight="1" s="183">
      <c r="A38" s="332" t="inlineStr">
        <is>
          <t>AI: 0pp → AI基建+应用加速确认，但无新事件级催化剂</t>
        </is>
      </c>
    </row>
    <row r="39" ht="16.5" customHeight="1" s="183">
      <c r="A39" s="332" t="inlineStr">
        <is>
          <t>恒科: -1pp → 非农超预期→加息预期→黑五科技暴跌→利率敏感</t>
        </is>
      </c>
    </row>
    <row r="40" ht="16.5" customHeight="1" s="183">
      <c r="A40" s="332" t="inlineStr">
        <is>
          <t>黄金: 0pp → 长期央行购金(27%储备)vs短期非农砸盘抵消</t>
        </is>
      </c>
    </row>
    <row r="41" ht="16.5" customHeight="1" s="183">
      <c r="A41" s="332" t="inlineStr">
        <is>
          <t>银行: 0pp → 岩松笔记讨论15%年化，中性方法论</t>
        </is>
      </c>
    </row>
    <row r="42" ht="16.5" customHeight="1" s="183">
      <c r="A42" s="332" t="inlineStr">
        <is>
          <t>结论: 持仓不动。养殖左侧继续等待。恒科短期注意利率风险。</t>
        </is>
      </c>
    </row>
    <row r="43" ht="16.5" customHeight="1" s="183"/>
    <row r="44" ht="16.5" customHeight="1" s="183"/>
    <row r="45" ht="16.5" customHeight="1" s="183"/>
    <row r="46" ht="16.5" customHeight="1" s="183"/>
    <row r="47" ht="16.5" customHeight="1" s="183"/>
    <row r="48" ht="16.5" customHeight="1" s="183"/>
    <row r="49" ht="16.5" customHeight="1" s="183"/>
    <row r="50" ht="15" customHeight="1" s="183"/>
    <row r="51" ht="15" customHeight="1" s="183"/>
    <row r="52" ht="77.25" customHeight="1" s="183"/>
    <row r="53" ht="16.5" customHeight="1" s="183"/>
    <row r="54" ht="26.25" customHeight="1" s="183"/>
    <row r="55" ht="29.25" customHeight="1" s="183"/>
    <row r="56" ht="29.25" customHeight="1" s="183"/>
    <row r="57" ht="15" customHeight="1" s="183"/>
    <row r="58" ht="15" customHeight="1" s="183"/>
    <row r="59" ht="57.75" customHeight="1" s="183"/>
    <row r="60" ht="172.5" customHeight="1" s="183"/>
    <row r="61" ht="15" customHeight="1" s="183"/>
    <row r="62" ht="15" customHeight="1" s="183"/>
    <row r="63" ht="48" customHeight="1" s="183"/>
    <row r="64" ht="48" customHeight="1" s="183"/>
    <row r="65" ht="63.75" customHeight="1" s="183"/>
    <row r="67" ht="16.5" customHeight="1" s="183"/>
    <row r="68" ht="48" customHeight="1" s="183"/>
    <row r="69" ht="32.25" customHeight="1" s="183"/>
    <row r="70" ht="48" customHeight="1" s="183"/>
    <row r="71" ht="32.25" customHeight="1" s="183"/>
    <row r="72" ht="17.15" customHeight="1" s="183"/>
    <row r="73" ht="121.5" customHeight="1" s="183"/>
    <row r="74" ht="17.15" customHeight="1" s="183"/>
    <row r="75" ht="17.15" customHeight="1" s="183"/>
    <row r="76" ht="17.15" customHeight="1" s="183"/>
    <row r="77" ht="15" customHeight="1" s="183"/>
    <row r="79" ht="39" customHeight="1" s="183"/>
    <row r="80" ht="39" customHeight="1" s="183"/>
    <row r="81" ht="51.75" customHeight="1" s="183"/>
    <row r="82" ht="51.75" customHeight="1" s="183"/>
    <row r="83" ht="64.5" customHeight="1" s="183"/>
    <row r="84" ht="15" customHeight="1" s="183"/>
    <row r="85" ht="15" customHeight="1" s="183"/>
    <row r="86" ht="26.25" customHeight="1" s="183"/>
    <row r="88" ht="39" customHeight="1" s="183"/>
    <row r="89" ht="26.25" customHeight="1" s="183"/>
    <row r="90" ht="26.25" customHeight="1" s="183"/>
    <row r="91" ht="39" customHeight="1" s="183"/>
    <row r="92" ht="26.25" customHeight="1" s="183"/>
    <row r="93" ht="26.25" customHeight="1" s="183"/>
    <row r="94" ht="39" customHeight="1" s="183"/>
    <row r="95" ht="39" customHeight="1" s="183"/>
    <row r="96" ht="15" customHeight="1" s="183"/>
    <row r="97" ht="15" customHeight="1" s="183"/>
    <row r="98" ht="18" customHeight="1" s="183"/>
    <row r="99" ht="15" customHeight="1" s="183"/>
    <row r="100" ht="15" customHeight="1" s="183"/>
    <row r="101" ht="26.25" customHeight="1" s="183"/>
    <row r="102" ht="15" customHeight="1" s="183"/>
    <row r="103" ht="26.25" customHeight="1" s="183"/>
    <row r="104" ht="26.25" customHeight="1" s="183"/>
    <row r="105" ht="26.25" customHeight="1" s="183"/>
    <row r="106" ht="26.25" customHeight="1" s="183"/>
    <row r="107" ht="15" customHeight="1" s="183"/>
    <row r="109" ht="15" customHeight="1" s="183"/>
    <row r="110" ht="26.25" customHeight="1" s="183"/>
    <row r="111" ht="26.25" customHeight="1" s="183"/>
    <row r="112" ht="26.25" customHeight="1" s="183"/>
    <row r="113" ht="26.25" customHeight="1" s="183"/>
    <row r="114" ht="26.25" customHeight="1" s="183"/>
    <row r="115" ht="26.25" customHeight="1" s="183"/>
    <row r="116" ht="15" customHeight="1" s="183"/>
    <row r="117" ht="20.1" customHeight="1" s="183">
      <c r="A117" s="361" t="inlineStr">
        <is>
          <t>📊 6/7 20:00小结</t>
        </is>
      </c>
    </row>
    <row r="118" ht="15" customHeight="1" s="183">
      <c r="A118" s="362" t="inlineStr">
        <is>
          <t>• 抓取50条沾边(抖音12+知乎18+B站0) 转录3/3</t>
        </is>
      </c>
    </row>
    <row r="119" ht="15" customHeight="1" s="183">
      <c r="A119" s="362" t="inlineStr">
        <is>
          <t>• 芯片虚P+1pp: 蒋宇飞GTC大会-AI基建3年不下车/端侧AI来临/物理AI需3年</t>
        </is>
      </c>
    </row>
    <row r="120" ht="26.25" customHeight="1" s="183">
      <c r="A120" s="362" t="inlineStr">
        <is>
          <t>• 避险+1pp: 环中星鉴11条-非农超预期/黄金大跌/SpaceX+OpenAI天价IPO</t>
        </is>
      </c>
    </row>
    <row r="121" ht="26.25" customHeight="1" s="183">
      <c r="A121" s="362" t="inlineStr">
        <is>
          <t>• 蒋宇飞端侧AI芯片机会=万亿市值级别(强烈看好)</t>
        </is>
      </c>
    </row>
    <row r="122" ht="15" customHeight="1" s="183">
      <c r="A122" s="361" t="inlineStr">
        <is>
          <t>📊 6/7 20:00小结</t>
        </is>
      </c>
    </row>
    <row r="123" ht="15" customHeight="1" s="183">
      <c r="A123" s="362" t="inlineStr">
        <is>
          <t>• 抓取50条沾边(抖音12+知乎18+B站0) 转录3/3 分析3/3</t>
        </is>
      </c>
    </row>
    <row r="124" ht="26.25" customHeight="1" s="183">
      <c r="A124" s="362" t="inlineStr">
        <is>
          <t>• 蒋宇飞GTC大会: AI基建3年不死/端侧AI来临/物理AI3年后 → 芯片虚P+1pp</t>
        </is>
      </c>
    </row>
    <row r="125" ht="15" customHeight="1" s="183">
      <c r="A125" s="362" t="inlineStr">
        <is>
          <t>• 环中星鉴11条: 非农超预期+黄金大跌+AI天价IPO → 避险短期承压</t>
        </is>
      </c>
    </row>
    <row r="126">
      <c r="A126" s="362" t="inlineStr">
        <is>
          <t>• 拿幸14条: OpenAI记忆架构+Anthropic自研AI → AI产业链持续加速(不重复加分)</t>
        </is>
      </c>
    </row>
    <row r="127" ht="15" customHeight="1" s="183">
      <c r="A127" s="362" t="inlineStr">
        <is>
          <t>• 伊娃6条+生猪贸易3条+猪猪女王2条: 养殖面稳定(不调整)</t>
        </is>
      </c>
    </row>
    <row r="128" ht="15" customHeight="1" s="183">
      <c r="A128" s="361" t="inlineStr">
        <is>
          <t>📊 6/7 20:00小结</t>
        </is>
      </c>
    </row>
    <row r="129" ht="26.25" customHeight="1" s="183">
      <c r="A129" s="362" t="inlineStr">
        <is>
          <t>• 抓取50条沾边(抖音12+知乎18+B站0) 转录3/3 分析3/3</t>
        </is>
      </c>
    </row>
    <row r="130" ht="15" customHeight="1" s="183">
      <c r="A130" s="362" t="inlineStr">
        <is>
          <t>• 蒋宇飞GTC大会: AI基建3年不死/端侧AI来临/物理AI3年后 → 芯片虚P+1pp</t>
        </is>
      </c>
    </row>
    <row r="131" ht="15" customHeight="1" s="183">
      <c r="A131" s="362" t="inlineStr">
        <is>
          <t>• 拿幸14条: OpenAI记忆架构+AI从AGI跨向AGI → 芯片方向但不重复加分</t>
        </is>
      </c>
    </row>
    <row r="132" ht="15" customHeight="1" s="183">
      <c r="A132" s="362" t="inlineStr">
        <is>
          <t>• 伊娃6条+生猪贸易3条+猪猪女王2条: 养殖面稳定(不调整)</t>
        </is>
      </c>
    </row>
    <row r="133" ht="15" customHeight="1" s="183">
      <c r="A133" s="362" t="inlineStr">
        <is>
          <t>• 环中星鉴11条: 非农超预期+黄金大跌+AI天价IPO → 避险短期承压</t>
        </is>
      </c>
    </row>
    <row r="134" ht="26.25" customHeight="1" s="183"/>
    <row r="135" ht="15" customHeight="1" s="183"/>
    <row r="136" ht="29.85" customHeight="1" s="183"/>
    <row r="137" ht="15" customHeight="1" s="183"/>
    <row r="138" ht="26.25" customHeight="1" s="183"/>
    <row r="139" ht="15" customHeight="1" s="183"/>
    <row r="140" ht="26.25" customHeight="1" s="183"/>
    <row r="141" ht="26.25" customHeight="1" s="183"/>
    <row r="142" ht="39" customHeight="1" s="183"/>
    <row r="143" ht="17.15" customHeight="1" s="183"/>
    <row r="144" ht="17.25" customHeight="1" s="183"/>
    <row r="145" ht="16.5" customHeight="1" s="183"/>
    <row r="146" ht="16.5" customHeight="1" s="183"/>
    <row r="147" ht="16.5" customHeight="1" s="183"/>
    <row r="148" ht="16.5" customHeight="1" s="183"/>
    <row r="149" ht="16.5" customHeight="1" s="183"/>
    <row r="150" ht="16.5" customHeight="1" s="183"/>
    <row r="151" ht="16.5" customHeight="1" s="183"/>
    <row r="152" ht="16.5" customHeight="1" s="183"/>
    <row r="153" ht="16.5" customHeight="1" s="183"/>
    <row r="154" ht="26.85" customHeight="1" s="183"/>
    <row r="155" ht="15" customHeight="1" s="183"/>
    <row r="156" ht="15" customHeight="1" s="183"/>
    <row r="157" ht="15" customHeight="1" s="183"/>
    <row r="158" ht="15" customHeight="1" s="183"/>
    <row r="159" ht="15" customHeight="1" s="183"/>
    <row r="160" ht="15" customHeight="1" s="183"/>
    <row r="161" ht="15" customHeight="1" s="183"/>
    <row r="162" ht="15" customHeight="1" s="183"/>
    <row r="163" ht="48.5" customHeight="1" s="183"/>
    <row r="164" ht="48.5" customHeight="1" s="183"/>
    <row r="165" ht="64.15000000000001" customHeight="1" s="183"/>
    <row r="167" ht="17.15" customHeight="1" s="183"/>
    <row r="168" ht="48.5" customHeight="1" s="183"/>
    <row r="169" ht="32.8" customHeight="1" s="183"/>
    <row r="170" ht="48.5" customHeight="1" s="183"/>
    <row r="171" ht="32.8" customHeight="1" s="183"/>
    <row r="173" ht="121.6" customHeight="1" s="183"/>
    <row r="177" ht="15" customHeight="1" s="183"/>
    <row r="179" ht="39.55" customHeight="1" s="183"/>
    <row r="180" ht="39.55" customHeight="1" s="183"/>
    <row r="181" ht="52.2" customHeight="1" s="183"/>
    <row r="182" ht="52.2" customHeight="1" s="183"/>
    <row r="183" ht="64.90000000000001" customHeight="1" s="183"/>
    <row r="184" ht="15" customHeight="1" s="183"/>
    <row r="185" ht="15" customHeight="1" s="183"/>
    <row r="186" ht="26.85" customHeight="1" s="183"/>
    <row r="188" ht="39.55" customHeight="1" s="183"/>
    <row r="189" ht="26.85" customHeight="1" s="183"/>
    <row r="190" ht="26.85" customHeight="1" s="183"/>
    <row r="191" ht="39.55" customHeight="1" s="183"/>
    <row r="192" ht="26.85" customHeight="1" s="183"/>
    <row r="193" ht="26.85" customHeight="1" s="183"/>
    <row r="194" ht="39.55" customHeight="1" s="183"/>
    <row r="195" ht="39.55" customHeight="1" s="183"/>
    <row r="198" ht="18.65" customHeight="1" s="183"/>
    <row r="199" ht="15" customHeight="1" s="183"/>
    <row r="200" ht="15" customHeight="1" s="183"/>
    <row r="201" ht="26.85" customHeight="1" s="183"/>
    <row r="202" ht="15" customHeight="1" s="183"/>
    <row r="203" ht="26.85" customHeight="1" s="183"/>
    <row r="204" ht="26.85" customHeight="1" s="183"/>
    <row r="205" ht="26.85" customHeight="1" s="183"/>
    <row r="206" ht="26.85" customHeight="1" s="183"/>
    <row r="207" ht="15" customHeight="1" s="183"/>
    <row r="209" ht="15" customHeight="1" s="183"/>
    <row r="210" ht="26.85" customHeight="1" s="183"/>
    <row r="211" ht="26.85" customHeight="1" s="183"/>
    <row r="212" ht="26.85" customHeight="1" s="183"/>
    <row r="213" ht="26.85" customHeight="1" s="183"/>
    <row r="214" ht="26.85" customHeight="1" s="183"/>
    <row r="215" ht="26.85" customHeight="1" s="183"/>
    <row r="216" ht="15" customHeight="1" s="183"/>
    <row r="218" ht="15" customHeight="1" s="183"/>
    <row r="219" ht="15" customHeight="1" s="183"/>
    <row r="220" ht="26.85" customHeight="1" s="183"/>
    <row r="221" ht="26.85" customHeight="1" s="183"/>
    <row r="222" ht="15" customHeight="1" s="183"/>
    <row r="223" ht="15" customHeight="1" s="183"/>
    <row r="224" ht="26.85" customHeight="1" s="183"/>
    <row r="225" ht="15" customHeight="1" s="183"/>
    <row r="227" ht="15" customHeight="1" s="183"/>
    <row r="228" ht="15" customHeight="1" s="183"/>
    <row r="229" ht="26.85" customHeight="1" s="183"/>
    <row r="230" ht="15" customHeight="1" s="183"/>
    <row r="231" ht="15" customHeight="1" s="183"/>
    <row r="232" ht="15" customHeight="1" s="183"/>
    <row r="233" ht="15" customHeight="1" s="183"/>
    <row r="234" ht="26.85" customHeight="1" s="183"/>
    <row r="235" ht="15" customHeight="1" s="183"/>
    <row r="237" ht="15" customHeight="1" s="183"/>
    <row r="238" ht="26.85" customHeight="1" s="183"/>
    <row r="239" ht="15" customHeight="1" s="183"/>
    <row r="240" ht="26.85" customHeight="1" s="183"/>
    <row r="241" ht="26.85" customHeight="1" s="183"/>
    <row r="242" ht="39.55" customHeight="1" s="183"/>
    <row r="244" ht="17.35" customHeight="1" s="183"/>
    <row r="245" ht="17.15" customHeight="1" s="183"/>
    <row r="246" ht="17.15" customHeight="1" s="183"/>
    <row r="247" ht="17.15" customHeight="1" s="183"/>
    <row r="248" ht="17.15" customHeight="1" s="183"/>
    <row r="249" ht="17.15" customHeight="1" s="183"/>
    <row r="250" ht="17.15" customHeight="1" s="183"/>
    <row r="251" ht="17.15" customHeight="1" s="183"/>
    <row r="252" ht="17.15" customHeight="1" s="183"/>
    <row r="253" ht="17.15" customHeight="1" s="183"/>
    <row r="255" ht="18.65" customHeight="1" s="183"/>
    <row r="256" ht="48.5" customHeight="1" s="183"/>
    <row r="257" ht="32.8" customHeight="1" s="183"/>
    <row r="258" ht="32.8" customHeight="1" s="183"/>
    <row r="259" ht="32.8" customHeight="1" s="183"/>
    <row r="260" ht="32.8" customHeight="1" s="183"/>
    <row r="261" ht="17.15" customHeight="1" s="183"/>
    <row r="262" ht="17.15" customHeight="1" s="183"/>
    <row r="263" ht="17.15" customHeight="1" s="183"/>
    <row r="264" ht="17.15" customHeight="1" s="183"/>
    <row r="265" ht="17.15" customHeight="1" s="183"/>
    <row r="266" ht="17.15" customHeight="1" s="183"/>
    <row r="267" ht="17.15" customHeight="1" s="183"/>
    <row r="268" ht="17.15" customHeight="1" s="183"/>
    <row r="270" ht="21.6" customHeight="1" s="183"/>
    <row r="271" ht="17.15" customHeight="1" s="183"/>
    <row r="272" ht="17.15" customHeight="1" s="183"/>
    <row r="273" ht="17.15" customHeight="1" s="183"/>
    <row r="274" ht="17.15" customHeight="1" s="183"/>
    <row r="275" ht="17.15" customHeight="1" s="183"/>
    <row r="276" ht="17.15" customHeight="1" s="183"/>
    <row r="277" ht="17.15" customHeight="1" s="183"/>
    <row r="278" ht="17.15" customHeight="1" s="183"/>
    <row r="280" ht="17.15" customHeight="1" s="183"/>
    <row r="281" ht="17.15" customHeight="1" s="183"/>
    <row r="282" ht="17.15" customHeight="1" s="183"/>
    <row r="283" ht="17.15" customHeight="1" s="183"/>
    <row r="284" ht="17.15" customHeight="1" s="183"/>
    <row r="286" ht="17.15" customHeight="1" s="183"/>
    <row r="287" ht="17.15" customHeight="1" s="183"/>
    <row r="288" ht="17.15" customHeight="1" s="183"/>
    <row r="289" ht="17.15" customHeight="1" s="183"/>
    <row r="290" ht="17.15" customHeight="1" s="183"/>
    <row r="292" ht="17.15" customHeight="1" s="183"/>
    <row r="293" ht="17.15" customHeight="1" s="183"/>
    <row r="294" ht="17.15" customHeight="1" s="183"/>
    <row r="295" ht="17.15" customHeight="1" s="183"/>
    <row r="296" ht="17.15" customHeight="1" s="183"/>
    <row r="297" ht="17.15" customHeight="1" s="183"/>
    <row r="298" ht="17.15" customHeight="1" s="183"/>
    <row r="299" ht="17.15" customHeight="1" s="183"/>
    <row r="300" ht="17.15" customHeight="1" s="183"/>
    <row r="301" ht="17.15" customHeight="1" s="183"/>
    <row r="302" ht="17.15" customHeight="1" s="183"/>
    <row r="303" ht="17.15" customHeight="1" s="183"/>
    <row r="304" ht="17.15" customHeight="1" s="183"/>
    <row r="306" ht="17.15" customHeight="1" s="183"/>
    <row r="307" ht="15" customHeight="1" s="183"/>
    <row r="308" ht="15" customHeight="1" s="183"/>
    <row r="309" ht="15" customHeight="1" s="183"/>
    <row r="310" ht="15" customHeight="1" s="183"/>
  </sheetData>
  <mergeCells count="31">
    <mergeCell ref="A126:G126"/>
    <mergeCell ref="A122:G122"/>
    <mergeCell ref="A131:G131"/>
    <mergeCell ref="A107:H107"/>
    <mergeCell ref="A125:G125"/>
    <mergeCell ref="B15:H15"/>
    <mergeCell ref="A1:H1"/>
    <mergeCell ref="A121:G121"/>
    <mergeCell ref="A117:G117"/>
    <mergeCell ref="A127:G127"/>
    <mergeCell ref="A130:G130"/>
    <mergeCell ref="B16:H16"/>
    <mergeCell ref="A12:H12"/>
    <mergeCell ref="A18:H18"/>
    <mergeCell ref="A123:G123"/>
    <mergeCell ref="A119:G119"/>
    <mergeCell ref="A132:G132"/>
    <mergeCell ref="A124:G124"/>
    <mergeCell ref="A2:H2"/>
    <mergeCell ref="A128:G128"/>
    <mergeCell ref="A97:H97"/>
    <mergeCell ref="A17:H17"/>
    <mergeCell ref="A133:G133"/>
    <mergeCell ref="B14:H14"/>
    <mergeCell ref="A118:G118"/>
    <mergeCell ref="B13:H13"/>
    <mergeCell ref="A120:G120"/>
    <mergeCell ref="A20:H20"/>
    <mergeCell ref="A96:H96"/>
    <mergeCell ref="B116:H116"/>
    <mergeCell ref="A129:G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8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3" activeCellId="0" sqref="H3"/>
    </sheetView>
  </sheetViews>
  <sheetFormatPr baseColWidth="8" defaultColWidth="10.4921875" defaultRowHeight="12.75" customHeight="0" zeroHeight="0" outlineLevelRow="0"/>
  <cols>
    <col width="18" customWidth="1" style="332" min="1" max="12"/>
  </cols>
  <sheetData>
    <row r="1" ht="13.5" customHeight="1" s="183">
      <c r="A1" s="213" t="inlineStr">
        <is>
          <t>📈 持仓贝叶斯完整记录 (α/β拆分版 2026-06-07)</t>
        </is>
      </c>
      <c r="J1" s="214" t="inlineStr">
        <is>
          <t>📊 盈亏比说明</t>
        </is>
      </c>
    </row>
    <row r="2" ht="26.25" customHeight="1" s="183">
      <c r="A2" s="213" t="inlineStr">
        <is>
          <t>芯片020628
[右侧]</t>
        </is>
      </c>
      <c r="B2" s="213" t="inlineStr">
        <is>
          <t>电池018926
[右侧]</t>
        </is>
      </c>
      <c r="C2" s="213" t="inlineStr">
        <is>
          <t>恒科012349
[等右]</t>
        </is>
      </c>
      <c r="D2" s="213" t="inlineStr">
        <is>
          <t>养殖014415
[左侧]</t>
        </is>
      </c>
      <c r="E2" s="213" t="inlineStr">
        <is>
          <t>有色004433
[周期]</t>
        </is>
      </c>
      <c r="F2" s="213" t="inlineStr">
        <is>
          <t>稀金014111
[战略]</t>
        </is>
      </c>
      <c r="G2" s="213" t="inlineStr">
        <is>
          <t>银行001595
[监控]</t>
        </is>
      </c>
      <c r="H2" s="213" t="inlineStr">
        <is>
          <t>AI027048
[蚊子]</t>
        </is>
      </c>
      <c r="I2" s="215" t="inlineStr">
        <is>
          <t>存储(赛道)
[观察]</t>
        </is>
      </c>
      <c r="J2" s="215" t="inlineStr">
        <is>
          <t>核电(赛道)
[观察]</t>
        </is>
      </c>
      <c r="K2" s="332" t="inlineStr">
        <is>
          <t>原油162411
[待重]</t>
        </is>
      </c>
    </row>
    <row r="3" ht="72.75" customHeight="1" s="183">
      <c r="A3" s="216" t="inlineStr">
        <is>
          <t>P(α):51%
β折价-3pp（↓从-11降：宏观对芯片价格影响≈0）
有效P:48%
R=P/(1-P)=0.9:1
P×R:0.44
决策:观望</t>
        </is>
      </c>
      <c r="B3" s="217" t="inlineStr">
        <is>
          <t>P(α):67%
β折价+0pp
有效P:67%
R=P/(1-P)=2.0:1
P×R:1.36
决策:持有</t>
        </is>
      </c>
      <c r="C3" s="218" t="inlineStr">
        <is>
          <t>P(α):41%
β折价-8pp
有效P:33%
R=P/(1-P)=0.5:1
P×R:0.16
决策:不干</t>
        </is>
      </c>
      <c r="D3" s="217" t="inlineStr">
        <is>
          <t>P(α):52%
β折价+4pp
有效P:56%
R=P/(1-P)=1.3:1
P×R:0.71
决策:持有</t>
        </is>
      </c>
      <c r="E3" s="216" t="inlineStr">
        <is>
          <t>P(α):39%
β折价+0pp
有效P:39%
R=P/(1-P)=0.6:1
P×R:0.25
决策:不干</t>
        </is>
      </c>
      <c r="F3" s="216" t="inlineStr">
        <is>
          <t>P(α):42%
β折价-1pp
有效P:41%
R=P/(1-P)=0.7:1
P×R:0.28
决策:观望</t>
        </is>
      </c>
      <c r="G3" s="216" t="inlineStr">
        <is>
          <t>P(α):50%
β折价-6pp
有效P:44%
R=P/(1-P)=0.8:1
P×R:0.35
决策:观望</t>
        </is>
      </c>
      <c r="H3" s="216" t="inlineStr">
        <is>
          <t>成本¥101
净值1.1274
P:None%
利率折价-4pp
有效P:-%
无数据
下行:30% 确定性:20% 溢价:40%
盈亏比:0.7:1
决策:不干</t>
        </is>
      </c>
      <c r="I3" s="336" t="inlineStr">
        <is>
          <t>P(α):55%
β折价-4pp
有效P:51%
R=P/(1-P)=1.0:1
P×R:0.53
决策:观望</t>
        </is>
      </c>
      <c r="J3" s="336" t="inlineStr">
        <is>
          <t>P(α):52%
β折价-2pp
有效P:50%
R=P/(1-P)=1.0:1
P×R:0.50
决策:观望</t>
        </is>
      </c>
      <c r="K3" s="336" t="inlineStr">
        <is>
          <t>P(α):58%
β折价+2pp
有效P:60%
R=P/(1-P)=1.5:1
P×R:0.90
决策:持有</t>
        </is>
      </c>
    </row>
    <row r="4" ht="12.75" customHeight="1" s="183">
      <c r="A4" s="220" t="inlineStr">
        <is>
          <t>日期/P/事件</t>
        </is>
      </c>
      <c r="B4" s="220" t="inlineStr">
        <is>
          <t>日期/P/事件</t>
        </is>
      </c>
      <c r="C4" s="220" t="inlineStr">
        <is>
          <t>日期/P/事件</t>
        </is>
      </c>
      <c r="D4" s="220" t="inlineStr">
        <is>
          <t>日期/P/事件</t>
        </is>
      </c>
      <c r="E4" s="220" t="inlineStr">
        <is>
          <t>日期/P/事件</t>
        </is>
      </c>
      <c r="F4" s="220" t="inlineStr">
        <is>
          <t>日期/P/事件</t>
        </is>
      </c>
      <c r="G4" s="220" t="inlineStr">
        <is>
          <t>日期/P/事件</t>
        </is>
      </c>
      <c r="H4" s="220" t="inlineStr">
        <is>
          <t>日期/P/事件</t>
        </is>
      </c>
      <c r="J4" s="221" t="inlineStr">
        <is>
          <t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      </is>
      </c>
      <c r="K4" s="332" t="inlineStr">
        <is>
          <t>日期/P/事件</t>
        </is>
      </c>
    </row>
    <row r="5" ht="45" customHeight="1" s="183">
      <c r="D5" s="367" t="inlineStr">
        <is>
          <t>2026-06-06
【+1pp】伊娃：火腿大叔黑猪产业慢生意（33年品牌+三产融合）。养猪行业出现差异化升级案例，不是全部走低价内卷
原文: ~/.hermes/work/transcripts/伊娃_7648158651937345698.txt</t>
        </is>
      </c>
    </row>
    <row r="6" ht="45" customHeight="1" s="183">
      <c r="D6" s="367" t="inlineStr">
        <is>
          <t>2026-06-05
【+1pp】生猪贸易：大集团负债高，3个月猪价不涨就疯了。母猪血流成河才是抄底信号，现在还没到
原文: ~/.hermes/work/transcripts/生猪贸易_7647447103488358585.txt</t>
        </is>
      </c>
    </row>
    <row r="7" ht="45" customHeight="1" s="183">
      <c r="D7" s="367" t="inlineStr">
        <is>
          <t>2026-06-06
【+1pp】生猪贸易：唯一骗不了人的指标=淘汰母猪价格。后备/怀孕母猪价格才是真实信号
原文: ~/.hermes/work/transcripts/生猪贸易_7647885902051625209.txt</t>
        </is>
      </c>
    </row>
    <row r="8" ht="45" customHeight="1" s="183">
      <c r="C8" s="367" t="inlineStr">
        <is>
          <t>2026-06-04
【虚P+1pp】付鹏：世界秩序重构=分配问题，AI=有希望资产 vs 黄金=人类没有未来。一手押AI一手押黄金的天平策略
原文: ~/.hermes/work/transcripts/付鹏_7647471378513317170.txt</t>
        </is>
      </c>
    </row>
    <row r="9" ht="45" customHeight="1" s="183">
      <c r="A9" s="367" t="inlineStr">
        <is>
          <t>2026-06-07
【虚P+1pp】拿幸：谷歌Gemma4 12B模型可在16G笔记本离线跑全模态。AI端侧部署加速，芯片需求逻辑强化
原文: ~/.hermes/work/transcripts/拿幸_7647783256083008831.txt</t>
        </is>
      </c>
    </row>
    <row r="10" ht="45" customHeight="1" s="183">
      <c r="A10" s="367" t="inlineStr">
        <is>
          <t>2026-06-06
【虚P+1pp】拿幸：NeRF图灵青年奖→未来十年AI走向。AI基础技术突破持续推进
原文: ~/.hermes/work/transcripts/拿幸_7648203503172635967.txt</t>
        </is>
      </c>
    </row>
    <row r="11" ht="45" customHeight="1" s="183">
      <c r="G11" s="365" t="inlineStr">
        <is>
          <t>【-1pp】黑色星期五：美股三大指数大跌+非农超预期+加息预期升温+黄金石油暴跌。闻号+环中星鉴+古都闲云多源确认
来源: 知乎闻号说经济/环中星鉴/古都闲云6/6标题多篇</t>
        </is>
      </c>
    </row>
    <row r="12" ht="45" customHeight="1" s="183">
      <c r="E12" s="365" t="inlineStr">
        <is>
          <t>【-1pp】长坡厚雪：纳斯达克100跌5个点。科技股回调压制工业金属需求预期</t>
        </is>
      </c>
    </row>
    <row r="13" ht="75" customHeight="1" s="183">
      <c r="D13" s="332" t="inlineStr">
        <is>
          <t>【+1pp】生猪贸易：集团负债大，3个月猪价不涨母猪血流成河=抄底最佳时机。银行拒贷养猪，资金链断裂加速出清
原文路径: ~/.hermes/work/transcripts/生猪贸易_7647447103488358585.txt</t>
        </is>
      </c>
    </row>
    <row r="14" ht="13.5" customHeight="1" s="183">
      <c r="D14" s="332" t="inlineStr">
        <is>
          <t>【0pp】生猪贸易：淘汰母猪价格加快=底部信号，后备/怀孕母猪价格骗不了人
原文路径: ~/.hermes/work/transcripts/生猪贸易_7647885902051625209.txt</t>
        </is>
      </c>
    </row>
    <row r="15" ht="13.5" customHeight="1" s="183">
      <c r="D15" s="332" t="inlineStr">
        <is>
          <t>【0pp】生猪贸易：集团养一天赔一天，15号/20号开会前后价格反弹。出栏压力持续
原文路径: ~/.hermes/work/transcripts/生猪贸易_7648309392954386299.txt</t>
        </is>
      </c>
    </row>
    <row r="16" ht="13.5" customHeight="1" s="183">
      <c r="D16" s="332" t="inlineStr">
        <is>
          <t>【0pp】伊娃：CPICP黑猪产业交流，重庆特宝投15年农业创投准备投资黑猪。资本关注赛道，不改变主P
原文路径: ~/.hermes/work/transcripts/伊娃_7648158651937345698.txt</t>
        </is>
      </c>
    </row>
    <row r="17" ht="13.5" customHeight="1" s="183">
      <c r="A17" s="332" t="inlineStr">
        <is>
          <t>【0pp】付鹏：世界秩序重构=分配问题，AI=有希望资产vs黄金=人类没有未来。方向已有，不重复加分
原文路径: ~/.hermes/work/transcripts/付鹏_7647471378513317170.txt</t>
        </is>
      </c>
    </row>
    <row r="18" ht="13.5" customHeight="1" s="183">
      <c r="A18" s="332" t="inlineStr">
        <is>
          <t>【0pp】拿幸：Anthropic预警AI自研AI(80%代码Claude写)，开发效率暴涨88倍。AI加速信号已有，不重复加分
原文路径: ~/.hermes/work/transcripts/拿幸_7647906523846364479.txt</t>
        </is>
      </c>
    </row>
    <row r="19" ht="13.5" customHeight="1" s="183">
      <c r="A19" s="332" t="inlineStr">
        <is>
          <t>【0pp】拿幸：OpenAI记忆V3上线+Anthropic跨租户泄露。AI产业链持续推进，不重复加分
原文路径: ~/.hermes/work/transcripts/拿幸_7648127132840873270.txt</t>
        </is>
      </c>
    </row>
    <row r="20" ht="13.5" customHeight="1" s="183">
      <c r="A20" s="332" t="inlineStr">
        <is>
          <t>【0pp】蒋宇飞：美国四大芯片巨头掌舵者全是华人（英伟达/博通/AMD/英特尔）。华人科技实力佐证，不重复加分
原文路径: ~/.hermes/work/transcripts/蒋宇飞_7648230205248605475.txt</t>
        </is>
      </c>
    </row>
    <row r="21" ht="13.5" customHeight="1" s="183">
      <c r="A21" s="366" t="inlineStr">
        <is>
          <t>【虚P+1pp】付鹏：要想富先修路=先建数据中心算力中心。AI基建=未来高速公路，各行各业开始应用
原文路径: ~/.hermes/work/transcripts/付鹏_7648268448174247208.txt</t>
        </is>
      </c>
    </row>
    <row r="22" ht="13.5" customHeight="1" s="183">
      <c r="A22" s="222" t="inlineStr">
        <is>
          <t>2026-06-03
+3pp
【+1pp】宋鸿兵：摩尔定律物理+经济双重极限
【+2pp】【虚P】堆叠崛起
【+0pp】宋鸿兵美伊谈判：经济战替代军事战→芯片逻辑不变</t>
        </is>
      </c>
      <c r="B22" s="223" t="inlineStr">
        <is>
          <t>2026-06-03
+6pp
【+4pp】【虚P】宋鸿兵+雪佛龙：油价危机OECD 6月触红线
【+2pp】【虚P】美伊经济战→能源转型加速→电池长期利好</t>
        </is>
      </c>
      <c r="C22" s="224" t="inlineStr">
        <is>
          <t>2026-06-03
-4pp
【-3pp】【虚P】油价危机→利率压制恒科
【-1pp】【虚P】美伊久拖不决→美债收益率上行→压制港股</t>
        </is>
      </c>
      <c r="D22" s="222" t="inlineStr">
        <is>
          <t>2026-06-03
+1pp
【事实】伊娃：仔猪价格硬挺420元→供给收缩有序</t>
        </is>
      </c>
      <c r="E22" s="224" t="inlineStr">
        <is>
          <t>2026-06-03
-5pp
【-5pp】知乎6/3联动：301关税+欧盟钢铁关税→工业金属需求预期下降，转口贸易路变窄</t>
        </is>
      </c>
      <c r="F22" s="224" t="inlineStr">
        <is>
          <t>2026-06-03
-3pp
【-3pp】知乎6/3联动：贸易利空，稀土反制牌短期有效但长期不确定</t>
        </is>
      </c>
      <c r="G22" s="222" t="inlineStr">
        <is>
          <t>2026-06-03
-1pp
【-1pp】【虚P】利率上行不利净息差
【+0pp】【虚P】欧洲央行：黄金替代美债成第一大储备</t>
        </is>
      </c>
      <c r="K22" s="332" t="inlineStr">
        <is>
          <t>2026-06-01
+3pp
【+3pp】正信期货：中东紧张，霍尔木兹风险大，多头趋势未改</t>
        </is>
      </c>
    </row>
    <row r="23" ht="13.5" customHeight="1" s="183">
      <c r="A23" s="223" t="inlineStr">
        <is>
          <t>2026-06-02
+2pp
【虚P】蒋宇飞AI基建10年+国产算力长城</t>
        </is>
      </c>
      <c r="B23" s="225" t="inlineStr">
        <is>
          <t>2026-06-02
+2pp
维力能储能全球第二+锂电全链</t>
        </is>
      </c>
      <c r="C23" s="226" t="inlineStr">
        <is>
          <t>2026-06-02
-3pp
付鹏恒科套利闭环不可持续</t>
        </is>
      </c>
      <c r="D23" s="223" t="inlineStr">
        <is>
          <t>2026-06-02
+4pp
【虚P】美国猪周期启示+17/18亏损+行业关注+厄尔尼诺</t>
        </is>
      </c>
      <c r="E23" s="227" t="inlineStr">
        <is>
          <t>2026-05-22
+4pp
AI铜需求爆发 + 资金回流</t>
        </is>
      </c>
      <c r="F23" s="227" t="inlineStr">
        <is>
          <t>2026-05-29
+1pp
闭眼看世界：俄乌升级→地缘风险溢价</t>
        </is>
      </c>
      <c r="G23" s="226" t="inlineStr">
        <is>
          <t>2026-06-02
-2pp
【虚P】去杠杆周期不利</t>
        </is>
      </c>
      <c r="H23" s="228" t="n"/>
      <c r="K23" s="224" t="inlineStr">
        <is>
          <t>2026-06-01
+2pp
【+2pp】摩根大通：海峡重开需等'痛到极点'</t>
        </is>
      </c>
    </row>
    <row r="24" ht="13.5" customHeight="1" s="183">
      <c r="A24" s="229" t="inlineStr">
        <is>
          <t>2026-05-28
+1pp
Schiff美债熊市 + 周鸿祎"内存决定高度"</t>
        </is>
      </c>
      <c r="B24" s="230" t="inlineStr">
        <is>
          <t>2026-05-21
+0pp
中科院固态锂电池突破（逻辑簇强化）</t>
        </is>
      </c>
      <c r="C24" s="231" t="inlineStr">
        <is>
          <t>2026-05-26
-4pp
恒生三巨头财报验证：非价值陷阱确认</t>
        </is>
      </c>
      <c r="D24" s="230" t="inlineStr">
        <is>
          <t>2026-05-26
+5pp
伊娃读财报18期：17/18猪企亏损，加速去产能确认</t>
        </is>
      </c>
      <c r="E24" s="232" t="inlineStr">
        <is>
          <t>2026-05-19
-2pp
岩松笔记 + 付鹏对冲：逻辑分类修正</t>
        </is>
      </c>
      <c r="F24" s="232" t="inlineStr">
        <is>
          <t>2026-05-20
-3pp
有色金属持续走弱+美债压制</t>
        </is>
      </c>
      <c r="G24" s="230" t="inlineStr">
        <is>
          <t>2026-05-22
+0pp
【-3pp】无知半人：住户贷款狂减4902亿
【+3pp】凯文·沃什就任美联储主席</t>
        </is>
      </c>
      <c r="H24" s="228" t="n"/>
      <c r="K24" s="224" t="inlineStr">
        <is>
          <t>2026-05-29
+5pp
【+5pp】宋鸿兵：OECD库存6月触红线，$111最坏情景</t>
        </is>
      </c>
    </row>
    <row r="25" ht="13.5" customHeight="1" s="183">
      <c r="A25" s="223" t="inlineStr">
        <is>
          <t>2026-05-27
-2pp
【已作废】美军轰炸伊朗→霍尔木兹P'作废</t>
        </is>
      </c>
      <c r="B25" s="223" t="inlineStr">
        <is>
          <t>2026-05-20
+1pp
光储旺季+美债压制</t>
        </is>
      </c>
      <c r="C25" s="226" t="inlineStr">
        <is>
          <t>2026-05-20
-3pp
多空交织：低开高走验证磨底 + 美债5.18%压制</t>
        </is>
      </c>
      <c r="D25" s="226" t="inlineStr">
        <is>
          <t>2026-05-24
+9pp
【+5pp】霍尔木兹通航
【+4pp】霍尔木兹通航修正</t>
        </is>
      </c>
      <c r="E25" s="233" t="inlineStr">
        <is>
          <t>2026-05-15
-8pp
有色金属板块持续资金净流出</t>
        </is>
      </c>
      <c r="F25" s="233" t="inlineStr">
        <is>
          <t>2026-05-19
-5pp
岩松笔记：资源非长期抗通胀→HALO联动风险</t>
        </is>
      </c>
      <c r="G25" s="228" t="n"/>
      <c r="H25" s="228" t="n"/>
      <c r="K25" s="332" t="inlineStr">
        <is>
          <t>2026-05-29
+3pp
【+3pp】日本面粉涨24%，油价传导消费品确认</t>
        </is>
      </c>
    </row>
    <row r="26" ht="13.5" customHeight="1" s="183">
      <c r="A26" s="231" t="inlineStr">
        <is>
          <t>2026-05-25
+1pp
蒋宇飞：玻璃基板的万亿机遇</t>
        </is>
      </c>
      <c r="B26" s="230" t="inlineStr">
        <is>
          <t>2026-05-19
+5pp
碳酸锂跌价+巴克莱看多</t>
        </is>
      </c>
      <c r="C26" s="228" t="inlineStr">
        <is>
          <t>2026-05-19
-2pp
付鹏×2：港股结构性偏弱 + 风险偏好极值 + 古都闲云社消疲弱</t>
        </is>
      </c>
      <c r="D26" s="231" t="inlineStr">
        <is>
          <t>2026-05-22
-2pp
无知半人：住户贷款狂减4902亿</t>
        </is>
      </c>
      <c r="E26" s="234" t="inlineStr">
        <is>
          <t>拟合⚠️样本少</t>
        </is>
      </c>
      <c r="F26" s="234" t="inlineStr">
        <is>
          <t>拟合⚠️样本少</t>
        </is>
      </c>
      <c r="G26" s="228" t="n"/>
      <c r="H26" s="228" t="n"/>
      <c r="K26" s="332" t="inlineStr">
        <is>
          <t>2026-04-07
+4pp
【+4pp】美军空袭哈尔克岛+以色列同步打击</t>
        </is>
      </c>
    </row>
    <row r="27" ht="13.5" customHeight="1" s="183">
      <c r="A27" s="226" t="inlineStr">
        <is>
          <t>2026-05-22
-3pp
【-1pp】宋鸿兵利率风暴（↓从-3pp降级：实际对芯片价格影响≈0）
【-2pp】凯文·沃什就任美联储主席（↓从-6pp降级：宏观β被产业α碾过）</t>
        </is>
      </c>
      <c r="B27" s="223" t="inlineStr">
        <is>
          <t>2026-05-15
+1pp
机构研报确认景气上行</t>
        </is>
      </c>
      <c r="C27" s="228" t="n"/>
      <c r="D27" s="228" t="inlineStr">
        <is>
          <t>2026-05-19
-2pp
古都闲云：社消数据疲弱</t>
        </is>
      </c>
      <c r="E27" s="234" t="inlineStr">
        <is>
          <t>⚠️样本少</t>
        </is>
      </c>
      <c r="F27" s="234" t="inlineStr">
        <is>
          <t>⚠️样本少</t>
        </is>
      </c>
      <c r="G27" s="228" t="n"/>
      <c r="H27" s="228" t="n"/>
      <c r="K27" s="332" t="inlineStr">
        <is>
          <t>2026-03-23
+3pp
【+2pp】特朗普威胁摧毁伊朗设施
【+1pp】新加坡总理：比70年代更严重</t>
        </is>
      </c>
    </row>
    <row r="28" ht="13.5" customHeight="1" s="183">
      <c r="A28" s="231" t="inlineStr">
        <is>
          <t>2026-05-19
-2pp
韩国闪崩（情绪叠加）</t>
        </is>
      </c>
      <c r="B28" s="230" t="inlineStr">
        <is>
          <t>2026-05-14
+3pp
电池ETF涨2.73%+多重利好</t>
        </is>
      </c>
      <c r="C28" s="228" t="n"/>
      <c r="D28" s="228" t="n"/>
      <c r="E28" s="228" t="n"/>
      <c r="F28" s="228" t="n"/>
      <c r="G28" s="228" t="n"/>
      <c r="H28" s="228" t="n"/>
      <c r="K28" s="332" t="inlineStr">
        <is>
          <t>2026-03
基准
【基准50%→58%】封锁3月+库存8.1亿桶+最坏$111</t>
        </is>
      </c>
    </row>
    <row r="29" ht="13.5" customHeight="1" s="183">
      <c r="A29" s="235" t="inlineStr">
        <is>
          <t>2026-05-16
+2pp
【虚P】付鹏：存储=AI基建（观点→共识信号）</t>
        </is>
      </c>
      <c r="B29" s="228" t="inlineStr">
        <is>
          <t>2026-05-13
+5pp
特朗普访华+恩捷40亿扩产</t>
        </is>
      </c>
      <c r="C29" s="228" t="n"/>
      <c r="D29" s="228" t="n"/>
      <c r="E29" s="228" t="n"/>
      <c r="F29" s="228" t="n"/>
      <c r="G29" s="228" t="n"/>
      <c r="H29" s="228" t="n"/>
      <c r="K29" s="332" t="inlineStr">
        <is>
          <t>拟合N/A(新赛道)</t>
        </is>
      </c>
    </row>
    <row r="30" ht="13.5" customHeight="1" s="183">
      <c r="A30" s="236" t="inlineStr">
        <is>
          <t>拟合❌0分</t>
        </is>
      </c>
    </row>
    <row r="31" ht="16.5" customHeight="1" s="183">
      <c r="A31" s="222" t="inlineStr">
        <is>
          <t>2026-06-06
+8pp
【虚P+5pp】孙正义：AI规模=互联网10-50倍，下一个万亿风口是机器人
【虚P+3pp】黄仁勋罕见同步发声，确认AI长期叙事
→ 两人罕见同步，虚P强度拉满</t>
        </is>
      </c>
      <c r="B31" s="332" t="n"/>
      <c r="C31" s="332" t="n"/>
      <c r="D31" s="332" t="n"/>
      <c r="G31" s="332" t="n"/>
    </row>
    <row r="32" ht="16.5" customHeight="1" s="183">
      <c r="A32" s="332" t="inlineStr">
        <is>
          <t>❌0分 ρ=-0.676</t>
        </is>
      </c>
      <c r="B32" s="332" t="inlineStr">
        <is>
          <t>✅97分 ρ=+0.966</t>
        </is>
      </c>
      <c r="C32" s="332" t="inlineStr">
        <is>
          <t>✅75分 ρ=+0.754</t>
        </is>
      </c>
      <c r="D32" s="332" t="inlineStr">
        <is>
          <t>✅95分 ρ=+0.955</t>
        </is>
      </c>
      <c r="E32" s="332" t="inlineStr">
        <is>
          <t>⚠️样本少</t>
        </is>
      </c>
      <c r="F32" s="332" t="inlineStr">
        <is>
          <t>⚠️样本少</t>
        </is>
      </c>
      <c r="G32" s="332" t="inlineStr">
        <is>
          <t>👍53分 ρ=+0.530</t>
        </is>
      </c>
      <c r="H32" s="332" t="inlineStr">
        <is>
          <t>无数据</t>
        </is>
      </c>
    </row>
    <row r="33" ht="16.5" customHeight="1" s="183">
      <c r="B33" s="224" t="n"/>
      <c r="E33" s="332" t="inlineStr">
        <is>
          <t>生猪贸易:淘汰母猪价格加快=底部信号(+1pp)</t>
        </is>
      </c>
    </row>
    <row r="34" ht="16.5" customHeight="1" s="183">
      <c r="E34" s="332" t="inlineStr">
        <is>
          <t>伊娃:中小养户资金压力=融资环境恶化</t>
        </is>
      </c>
    </row>
    <row r="35" ht="13.5" customHeight="1" s="183">
      <c r="A35" s="224" t="n"/>
      <c r="D35" s="332" t="inlineStr">
        <is>
          <t>拿幸:Anthropic AI造AI预警+谷歌Gemma4(0pp叙事)</t>
        </is>
      </c>
    </row>
    <row r="36" ht="13.5" customHeight="1" s="183">
      <c r="A36" s="224" t="n"/>
      <c r="B36" s="224" t="inlineStr">
        <is>
          <t>环中星鉴:博通AI收入+200%股价-15%(0pp)</t>
        </is>
      </c>
    </row>
    <row r="37" ht="16.5" customHeight="1" s="183">
      <c r="A37" s="224" t="inlineStr">
        <is>
          <t>2026-06-06</t>
        </is>
      </c>
      <c r="B37" s="224" t="n"/>
      <c r="H37" s="332" t="inlineStr">
        <is>
          <t>闻号:非农超预期14万/黑五大跌(0pp)</t>
        </is>
      </c>
    </row>
    <row r="38" ht="16.5" customHeight="1" s="183">
      <c r="A38" s="224" t="n"/>
      <c r="B38" s="224" t="n"/>
    </row>
    <row r="39" ht="13.5" customHeight="1" s="183"/>
    <row r="40" ht="13.5" customHeight="1" s="183"/>
    <row r="41" ht="13.5" customHeight="1" s="183">
      <c r="A41" s="237" t="inlineStr">
        <is>
          <t>📊 机会成本比较（2026-06-04）</t>
        </is>
      </c>
    </row>
    <row r="42" ht="16.5" customHeight="1" s="183">
      <c r="A42" s="203" t="inlineStr">
        <is>
          <t>选项</t>
        </is>
      </c>
      <c r="B42" s="203" t="inlineStr">
        <is>
          <t>P值</t>
        </is>
      </c>
      <c r="C42" s="203" t="inlineStr">
        <is>
          <t>盈亏比</t>
        </is>
      </c>
      <c r="D42" s="203" t="inlineStr">
        <is>
          <t>P×R</t>
        </is>
      </c>
      <c r="E42" s="203" t="inlineStr">
        <is>
          <t>仓位w</t>
        </is>
      </c>
      <c r="F42" s="203" t="inlineStr">
        <is>
          <t>吸引力Score</t>
        </is>
      </c>
      <c r="G42" s="203" t="inlineStr">
        <is>
          <t>双门槛</t>
        </is>
      </c>
      <c r="H42" s="203" t="inlineStr">
        <is>
          <t>建议</t>
        </is>
      </c>
    </row>
    <row r="43" ht="16.5" customHeight="1" s="183">
      <c r="A43" s="332" t="inlineStr">
        <is>
          <t>养殖014415</t>
        </is>
      </c>
      <c r="B43" s="332" t="inlineStr">
        <is>
          <t>70%</t>
        </is>
      </c>
      <c r="C43" s="332" t="inlineStr">
        <is>
          <t>2.0:1</t>
        </is>
      </c>
      <c r="D43" s="332" t="inlineStr">
        <is>
          <t>1.40</t>
        </is>
      </c>
      <c r="E43" s="332" t="inlineStr">
        <is>
          <t>0.0%</t>
        </is>
      </c>
      <c r="F43" s="332" t="inlineStr">
        <is>
          <t>1.400</t>
        </is>
      </c>
      <c r="G43" s="332" t="inlineStr">
        <is>
          <t>✅通过</t>
        </is>
      </c>
      <c r="H43" s="332" t="inlineStr">
        <is>
          <t>🟢可配现金</t>
        </is>
      </c>
    </row>
    <row r="44" ht="16.5" customHeight="1" s="183">
      <c r="A44" s="332" t="inlineStr">
        <is>
          <t>电池018926</t>
        </is>
      </c>
      <c r="B44" s="332" t="inlineStr">
        <is>
          <t>65%</t>
        </is>
      </c>
      <c r="C44" s="332" t="inlineStr">
        <is>
          <t>2.0:1</t>
        </is>
      </c>
      <c r="D44" s="332" t="inlineStr">
        <is>
          <t>1.30</t>
        </is>
      </c>
      <c r="E44" s="332" t="inlineStr">
        <is>
          <t>0.0%</t>
        </is>
      </c>
      <c r="F44" s="332" t="inlineStr">
        <is>
          <t>1.300</t>
        </is>
      </c>
      <c r="G44" s="332" t="inlineStr">
        <is>
          <t>✅通过</t>
        </is>
      </c>
      <c r="H44" s="332" t="inlineStr">
        <is>
          <t>🟢可配现金</t>
        </is>
      </c>
    </row>
    <row r="45" ht="13.5" customHeight="1" s="183">
      <c r="A45" s="332" t="inlineStr">
        <is>
          <t>有色004433</t>
        </is>
      </c>
      <c r="B45" s="332" t="inlineStr">
        <is>
          <t>39%</t>
        </is>
      </c>
      <c r="C45" s="332" t="inlineStr">
        <is>
          <t>0.7:1</t>
        </is>
      </c>
      <c r="D45" s="332" t="inlineStr">
        <is>
          <t>0.27</t>
        </is>
      </c>
      <c r="E45" s="332" t="inlineStr">
        <is>
          <t>0.0%</t>
        </is>
      </c>
      <c r="F45" s="332" t="inlineStr">
        <is>
          <t>0.273</t>
        </is>
      </c>
      <c r="G45" s="332" t="inlineStr">
        <is>
          <t>❌未通过</t>
        </is>
      </c>
      <c r="H45" s="332" t="inlineStr">
        <is>
          <t>差20pp到P门槛</t>
        </is>
      </c>
    </row>
    <row r="46" ht="18" customHeight="1" s="183">
      <c r="A46" s="332" t="inlineStr">
        <is>
          <t>稀金014111</t>
        </is>
      </c>
      <c r="B46" s="332" t="inlineStr">
        <is>
          <t>40%</t>
        </is>
      </c>
      <c r="C46" s="332" t="inlineStr">
        <is>
          <t>0.6:1</t>
        </is>
      </c>
      <c r="D46" s="332" t="inlineStr">
        <is>
          <t>0.24</t>
        </is>
      </c>
      <c r="E46" s="332" t="inlineStr">
        <is>
          <t>0.0%</t>
        </is>
      </c>
      <c r="F46" s="332" t="inlineStr">
        <is>
          <t>0.240</t>
        </is>
      </c>
      <c r="G46" s="332" t="inlineStr">
        <is>
          <t>❌未通过</t>
        </is>
      </c>
      <c r="H46" s="332" t="inlineStr">
        <is>
          <t>差19pp到P门槛</t>
        </is>
      </c>
    </row>
    <row r="47" ht="15" customHeight="1" s="183">
      <c r="A47" s="332" t="inlineStr">
        <is>
          <t>银行001595</t>
        </is>
      </c>
      <c r="B47" s="332" t="inlineStr">
        <is>
          <t>47%</t>
        </is>
      </c>
      <c r="C47" s="332" t="inlineStr">
        <is>
          <t>0.5:1</t>
        </is>
      </c>
      <c r="D47" s="332" t="inlineStr">
        <is>
          <t>0.23</t>
        </is>
      </c>
      <c r="E47" s="332" t="inlineStr">
        <is>
          <t>0.0%</t>
        </is>
      </c>
      <c r="F47" s="332" t="inlineStr">
        <is>
          <t>0.235</t>
        </is>
      </c>
      <c r="G47" s="332" t="inlineStr">
        <is>
          <t>❌未通过</t>
        </is>
      </c>
      <c r="H47" s="332" t="inlineStr">
        <is>
          <t>差13pp到P门槛</t>
        </is>
      </c>
    </row>
    <row r="48" ht="16.5" customHeight="1" s="183">
      <c r="A48" s="332" t="inlineStr">
        <is>
          <t>恒科012349</t>
        </is>
      </c>
      <c r="B48" s="332" t="inlineStr">
        <is>
          <t>29%</t>
        </is>
      </c>
      <c r="C48" s="332" t="inlineStr">
        <is>
          <t>0.4:1</t>
        </is>
      </c>
      <c r="D48" s="332" t="inlineStr">
        <is>
          <t>0.12</t>
        </is>
      </c>
      <c r="E48" s="332" t="inlineStr">
        <is>
          <t>0.0%</t>
        </is>
      </c>
      <c r="F48" s="332" t="inlineStr">
        <is>
          <t>0.116</t>
        </is>
      </c>
      <c r="G48" s="332" t="inlineStr">
        <is>
          <t>❌未通过</t>
        </is>
      </c>
      <c r="H48" s="332" t="inlineStr">
        <is>
          <t>差31pp到P门槛</t>
        </is>
      </c>
    </row>
    <row r="49" ht="16.5" customHeight="1" s="183">
      <c r="A49" s="332" t="inlineStr">
        <is>
          <t>芯片020628</t>
        </is>
      </c>
      <c r="B49" s="332" t="inlineStr">
        <is>
          <t>44%</t>
        </is>
      </c>
      <c r="C49" s="332" t="inlineStr">
        <is>
          <t>0.2:1</t>
        </is>
      </c>
      <c r="D49" s="332" t="inlineStr">
        <is>
          <t>0.09</t>
        </is>
      </c>
      <c r="E49" s="332" t="inlineStr">
        <is>
          <t>0.0%</t>
        </is>
      </c>
      <c r="F49" s="332" t="inlineStr">
        <is>
          <t>0.088</t>
        </is>
      </c>
      <c r="G49" s="332" t="inlineStr">
        <is>
          <t>❌未通过</t>
        </is>
      </c>
      <c r="H49" s="332" t="inlineStr">
        <is>
          <t>差15pp到P门槛</t>
        </is>
      </c>
    </row>
    <row r="50" ht="16.5" customHeight="1" s="183">
      <c r="A50" s="332" t="inlineStr">
        <is>
          <t>AI027048</t>
        </is>
      </c>
      <c r="B50" s="332" t="inlineStr">
        <is>
          <t>N/A</t>
        </is>
      </c>
      <c r="C50" s="332" t="inlineStr">
        <is>
          <t>0.7:1</t>
        </is>
      </c>
      <c r="D50" s="332" t="inlineStr">
        <is>
          <t>0.00</t>
        </is>
      </c>
      <c r="E50" s="332" t="inlineStr">
        <is>
          <t>100.0%</t>
        </is>
      </c>
      <c r="F50" s="332" t="inlineStr">
        <is>
          <t>-1.000</t>
        </is>
      </c>
      <c r="G50" s="332" t="inlineStr">
        <is>
          <t>❌未通过</t>
        </is>
      </c>
      <c r="H50" s="332" t="inlineStr">
        <is>
          <t>差0.7到R门槛</t>
        </is>
      </c>
    </row>
    <row r="51" ht="16.5" customHeight="1" s="183">
      <c r="A51" s="332" t="inlineStr">
        <is>
          <t>💰 现金（基准线）</t>
        </is>
      </c>
      <c r="D51" s="332" t="inlineStr">
        <is>
          <t>0.00</t>
        </is>
      </c>
      <c r="F51" s="332" t="inlineStr">
        <is>
          <t>0.000</t>
        </is>
      </c>
      <c r="G51" s="332" t="inlineStr">
        <is>
          <t>基准</t>
        </is>
      </c>
      <c r="H51" s="332" t="inlineStr">
        <is>
          <t>Score=0，所有选项都要跟现金比</t>
        </is>
      </c>
    </row>
    <row r="52" ht="16.5" customHeight="1" s="183"/>
    <row r="53" ht="13.5" customHeight="1" s="183">
      <c r="A53" s="347" t="inlineStr">
        <is>
          <t>📌 结论：现金该往哪分配</t>
        </is>
      </c>
    </row>
    <row r="54" ht="15" customHeight="1" s="183">
      <c r="A54" s="347" t="inlineStr">
        <is>
          <t>1. 养殖014415 — P=70% R=2.0:1 Score=1.400</t>
        </is>
      </c>
    </row>
    <row r="55" ht="16.5" customHeight="1" s="183">
      <c r="A55" s="347" t="inlineStr">
        <is>
          <t>2. 电池018926 — P=65% R=2.0:1 Score=1.300</t>
        </is>
      </c>
    </row>
    <row r="56" ht="16.5" customHeight="1" s="183"/>
    <row r="57" ht="16.5" customHeight="1" s="183"/>
    <row r="58" ht="16.5" customHeight="1" s="183">
      <c r="A58" s="332" t="inlineStr">
        <is>
          <t>📖 公式说明</t>
        </is>
      </c>
    </row>
    <row r="59" ht="16.5" customHeight="1" s="183">
      <c r="A59" s="332" t="inlineStr">
        <is>
          <t>吸引力Score = P×R - α×w×(1-P)  |  P=胜率 R=盈亏比 w=当前仓位占比 α=1</t>
        </is>
      </c>
    </row>
    <row r="60" ht="13.5" customHeight="1" s="183">
      <c r="A60" s="332" t="inlineStr">
        <is>
          <t>双门槛：P≥60% + 盈亏比≥2:1 → 通过 → 按Score排序分配现金</t>
        </is>
      </c>
    </row>
    <row r="61" ht="16.5" customHeight="1" s="183">
      <c r="A61" s="332" t="inlineStr">
        <is>
          <t>大白话：吸引力 = 机会多好(P×R) - 风险多重(w×不确定性)</t>
        </is>
      </c>
    </row>
    <row r="62" ht="16.5" customHeight="1" s="183"/>
    <row r="63" ht="16.5" customHeight="1" s="183">
      <c r="A63" s="239" t="inlineStr">
        <is>
          <t>机制库 &amp; 机会成本排序（2026-06-04）</t>
        </is>
      </c>
    </row>
    <row r="64" ht="16.5" customHeight="1" s="183">
      <c r="A64" s="240" t="inlineStr">
        <is>
          <t>[机制1] 机会成本排序算法</t>
        </is>
      </c>
    </row>
    <row r="65" ht="16.5" customHeight="1" s="183">
      <c r="A65" s="332" t="inlineStr">
        <is>
          <t>公式：吸引力Score = P*R - alpha*w*(1-P)  |  P=胜率 R=盈亏比 w=仓位占比 alpha=1</t>
        </is>
      </c>
    </row>
    <row r="66" ht="16.5" customHeight="1" s="183">
      <c r="A66" s="332" t="inlineStr">
        <is>
          <t>原理：Kelly Criterion变体 + 集中度风险惩罚。大白话：吸引力=机会多好(P*R) - 风险多重(仓位*不确定性)</t>
        </is>
      </c>
    </row>
    <row r="67" ht="16.5" customHeight="1" s="183">
      <c r="A67" s="332" t="inlineStr">
        <is>
          <t>何时用：每次监控全流程完成后/新机会加入/用户问现金往哪走/每两周定期</t>
        </is>
      </c>
    </row>
    <row r="68" ht="16.5" customHeight="1" s="183">
      <c r="A68" s="332" t="inlineStr">
        <is>
          <t>设计原因：防止钱锁在烂仓位里。新机会w=0无惩罚，重仓+低P惩罚最重。现金Score=0是基准线</t>
        </is>
      </c>
    </row>
    <row r="69" ht="16.5" customHeight="1" s="183">
      <c r="A69" s="332" t="inlineStr">
        <is>
          <t>科学依据：V4 Pro多轮讨论审核通过(2026-06-03)。不是直觉，是数学推导</t>
        </is>
      </c>
    </row>
    <row r="70" ht="16.5" customHeight="1" s="183"/>
    <row r="71" ht="16.5" customHeight="1" s="183">
      <c r="A71" s="240" t="inlineStr">
        <is>
          <t>[机制2] Spearman秩相关拟合算法</t>
        </is>
      </c>
    </row>
    <row r="72" ht="16.5" customHeight="1" s="183">
      <c r="A72" s="332" t="inlineStr">
        <is>
          <t>公式：拟合分 = rho*50 + 50  |  rho=Spearman秩相关系数（scipy.stats.spearmanr）</t>
        </is>
      </c>
    </row>
    <row r="73" ht="16.5" customHeight="1" s="183">
      <c r="A73" s="332" t="inlineStr">
        <is>
          <t>原理：衡量P值累计趋势与价格累计趋势的单调一致性。允许非线性、允许滞后、不要求同天同向</t>
        </is>
      </c>
    </row>
    <row r="74" ht="13.5" customHeight="1" s="183">
      <c r="A74" s="332" t="inlineStr">
        <is>
          <t>何时用：每两周或手动触发。样本&gt;=5个数据点才有效（&lt;5不稳定）</t>
        </is>
      </c>
    </row>
    <row r="75" ht="13.5" customHeight="1" s="183">
      <c r="A75" s="332" t="inlineStr">
        <is>
          <t>设计原因：看板是信息温度计，需要验证温度计准不准。拟合好=信源加分，拟合差=信源减分</t>
        </is>
      </c>
    </row>
    <row r="76" ht="16.5" customHeight="1" s="183">
      <c r="A76" s="332" t="inlineStr">
        <is>
          <t>科学依据：Spearman比Pearson更适合金融时间序列（不要求线性关系，只看单调性）</t>
        </is>
      </c>
    </row>
    <row r="77" ht="16.5" customHeight="1" s="183"/>
    <row r="78" ht="16.5" customHeight="1" s="183">
      <c r="A78" s="241" t="inlineStr">
        <is>
          <t>排名</t>
        </is>
      </c>
      <c r="B78" s="241" t="inlineStr">
        <is>
          <t>选项</t>
        </is>
      </c>
      <c r="C78" s="241" t="inlineStr">
        <is>
          <t>类型</t>
        </is>
      </c>
      <c r="D78" s="241" t="inlineStr">
        <is>
          <t>P值</t>
        </is>
      </c>
      <c r="E78" s="241" t="inlineStr">
        <is>
          <t>盈亏比</t>
        </is>
      </c>
      <c r="F78" s="241" t="inlineStr">
        <is>
          <t>P*R</t>
        </is>
      </c>
      <c r="G78" s="241" t="inlineStr">
        <is>
          <t>仓位w</t>
        </is>
      </c>
      <c r="H78" s="241" t="inlineStr">
        <is>
          <t>风险惩罚</t>
        </is>
      </c>
      <c r="I78" s="241" t="inlineStr">
        <is>
          <t>吸引力Score</t>
        </is>
      </c>
      <c r="J78" s="241" t="inlineStr">
        <is>
          <t>双门槛</t>
        </is>
      </c>
      <c r="K78" s="241" t="inlineStr">
        <is>
          <t>建议</t>
        </is>
      </c>
    </row>
    <row r="79" ht="16.5" customHeight="1" s="183">
      <c r="A79" s="242" t="n">
        <v>1</v>
      </c>
      <c r="B79" s="242" t="inlineStr">
        <is>
          <t>长电科技(堆叠)</t>
        </is>
      </c>
      <c r="C79" s="242" t="inlineStr">
        <is>
          <t>待重仓</t>
        </is>
      </c>
      <c r="D79" s="242" t="inlineStr">
        <is>
          <t>75%</t>
        </is>
      </c>
      <c r="E79" s="242" t="inlineStr">
        <is>
          <t>4.5:1</t>
        </is>
      </c>
      <c r="F79" s="242" t="inlineStr">
        <is>
          <t>3.38</t>
        </is>
      </c>
      <c r="G79" s="242" t="inlineStr">
        <is>
          <t>0.0%</t>
        </is>
      </c>
      <c r="H79" s="242" t="inlineStr">
        <is>
          <t>-0.000</t>
        </is>
      </c>
      <c r="I79" s="242" t="inlineStr">
        <is>
          <t>3.375</t>
        </is>
      </c>
      <c r="J79" s="242" t="inlineStr">
        <is>
          <t>通过</t>
        </is>
      </c>
      <c r="K79" s="242" t="inlineStr">
        <is>
          <t>目标37%可投资金</t>
        </is>
      </c>
    </row>
    <row r="80" ht="13.5" customHeight="1" s="183">
      <c r="A80" s="242" t="n">
        <v>2</v>
      </c>
      <c r="B80" s="242" t="inlineStr">
        <is>
          <t>通富微电(堆叠)</t>
        </is>
      </c>
      <c r="C80" s="242" t="inlineStr">
        <is>
          <t>待重仓</t>
        </is>
      </c>
      <c r="D80" s="242" t="inlineStr">
        <is>
          <t>75%</t>
        </is>
      </c>
      <c r="E80" s="242" t="inlineStr">
        <is>
          <t>4.0:1</t>
        </is>
      </c>
      <c r="F80" s="242" t="inlineStr">
        <is>
          <t>3.00</t>
        </is>
      </c>
      <c r="G80" s="242" t="inlineStr">
        <is>
          <t>0.0%</t>
        </is>
      </c>
      <c r="H80" s="242" t="inlineStr">
        <is>
          <t>-0.000</t>
        </is>
      </c>
      <c r="I80" s="242" t="inlineStr">
        <is>
          <t>3.000</t>
        </is>
      </c>
      <c r="J80" s="242" t="inlineStr">
        <is>
          <t>通过</t>
        </is>
      </c>
      <c r="K80" s="242" t="inlineStr">
        <is>
          <t>目标33%可投资金</t>
        </is>
      </c>
    </row>
    <row r="81" ht="13.5" customHeight="1" s="183">
      <c r="A81" s="242" t="n">
        <v>3</v>
      </c>
    </row>
    <row r="82" ht="21" customHeight="1" s="183">
      <c r="A82" s="242" t="n">
        <v>4</v>
      </c>
      <c r="B82" s="242" t="inlineStr">
        <is>
          <t>电池018926</t>
        </is>
      </c>
      <c r="C82" s="242" t="inlineStr">
        <is>
          <t>持仓</t>
        </is>
      </c>
      <c r="D82" s="242" t="inlineStr">
        <is>
          <t>65%</t>
        </is>
      </c>
      <c r="E82" s="242" t="inlineStr">
        <is>
          <t>2.0:1</t>
        </is>
      </c>
      <c r="F82" s="242" t="inlineStr">
        <is>
          <t>1.30</t>
        </is>
      </c>
      <c r="G82" s="242" t="inlineStr">
        <is>
          <t>0.0%</t>
        </is>
      </c>
      <c r="H82" s="242" t="inlineStr">
        <is>
          <t>-0.000</t>
        </is>
      </c>
      <c r="I82" s="242" t="inlineStr">
        <is>
          <t>1.300</t>
        </is>
      </c>
      <c r="J82" s="242" t="inlineStr">
        <is>
          <t>通过</t>
        </is>
      </c>
      <c r="K82" s="242" t="inlineStr">
        <is>
          <t>目标14%可投资金</t>
        </is>
      </c>
    </row>
    <row r="83" ht="15" customHeight="1" s="183">
      <c r="A83" s="332" t="n">
        <v>5</v>
      </c>
      <c r="B83" s="332" t="inlineStr">
        <is>
          <t>存储赛道</t>
        </is>
      </c>
      <c r="C83" s="332" t="inlineStr">
        <is>
          <t>待重仓</t>
        </is>
      </c>
      <c r="D83" s="332" t="inlineStr">
        <is>
          <t>55%</t>
        </is>
      </c>
      <c r="E83" s="332" t="inlineStr">
        <is>
          <t>2.0:1</t>
        </is>
      </c>
      <c r="F83" s="332" t="inlineStr">
        <is>
          <t>1.10</t>
        </is>
      </c>
      <c r="G83" s="332" t="inlineStr">
        <is>
          <t>0.0%</t>
        </is>
      </c>
      <c r="H83" s="332" t="inlineStr">
        <is>
          <t>-0.000</t>
        </is>
      </c>
      <c r="I83" s="332" t="inlineStr">
        <is>
          <t>1.100</t>
        </is>
      </c>
      <c r="J83" s="332" t="inlineStr">
        <is>
          <t>未通过</t>
        </is>
      </c>
      <c r="K83" s="332" t="inlineStr">
        <is>
          <t>P差4pp</t>
        </is>
      </c>
    </row>
    <row r="84" ht="13.5" customHeight="1" s="183">
      <c r="A84" s="332" t="n">
        <v>6</v>
      </c>
      <c r="B84" s="332" t="inlineStr">
        <is>
          <t>核电</t>
        </is>
      </c>
      <c r="C84" s="332" t="inlineStr">
        <is>
          <t>待重仓</t>
        </is>
      </c>
      <c r="D84" s="332" t="inlineStr">
        <is>
          <t>52%</t>
        </is>
      </c>
      <c r="E84" s="332" t="inlineStr">
        <is>
          <t>1.5:1</t>
        </is>
      </c>
      <c r="F84" s="332" t="inlineStr">
        <is>
          <t>0.78</t>
        </is>
      </c>
      <c r="G84" s="332" t="inlineStr">
        <is>
          <t>0.0%</t>
        </is>
      </c>
      <c r="H84" s="332" t="inlineStr">
        <is>
          <t>-0.000</t>
        </is>
      </c>
      <c r="I84" s="332" t="inlineStr">
        <is>
          <t>0.780</t>
        </is>
      </c>
      <c r="J84" s="332" t="inlineStr">
        <is>
          <t>未通过</t>
        </is>
      </c>
      <c r="K84" s="332" t="inlineStr">
        <is>
          <t>P差7pp + R差0.5</t>
        </is>
      </c>
    </row>
    <row r="85" ht="16.5" customHeight="1" s="183">
      <c r="A85" s="332" t="n">
        <v>7</v>
      </c>
      <c r="B85" s="332" t="inlineStr">
        <is>
          <t>银行001595</t>
        </is>
      </c>
      <c r="C85" s="332" t="inlineStr">
        <is>
          <t>持仓</t>
        </is>
      </c>
      <c r="D85" s="332" t="inlineStr">
        <is>
          <t>47%</t>
        </is>
      </c>
      <c r="E85" s="332" t="inlineStr">
        <is>
          <t>1.5:1</t>
        </is>
      </c>
      <c r="F85" s="332" t="inlineStr">
        <is>
          <t>0.70</t>
        </is>
      </c>
      <c r="G85" s="332" t="inlineStr">
        <is>
          <t>0.0%</t>
        </is>
      </c>
      <c r="H85" s="332" t="inlineStr">
        <is>
          <t>-0.000</t>
        </is>
      </c>
      <c r="I85" s="332" t="inlineStr">
        <is>
          <t>0.705</t>
        </is>
      </c>
      <c r="J85" s="332" t="inlineStr">
        <is>
          <t>未通过</t>
        </is>
      </c>
      <c r="K85" s="332" t="inlineStr">
        <is>
          <t>P差13pp + R差0.5</t>
        </is>
      </c>
    </row>
    <row r="86" ht="16.5" customHeight="1" s="183">
      <c r="A86" s="332" t="n">
        <v>8</v>
      </c>
      <c r="B86" s="332" t="inlineStr">
        <is>
          <t>有色004433</t>
        </is>
      </c>
      <c r="C86" s="332" t="inlineStr">
        <is>
          <t>持仓</t>
        </is>
      </c>
      <c r="D86" s="332" t="inlineStr">
        <is>
          <t>39%</t>
        </is>
      </c>
      <c r="E86" s="332" t="inlineStr">
        <is>
          <t>1.7:1</t>
        </is>
      </c>
      <c r="F86" s="332" t="inlineStr">
        <is>
          <t>0.66</t>
        </is>
      </c>
      <c r="G86" s="332" t="inlineStr">
        <is>
          <t>0.0%</t>
        </is>
      </c>
      <c r="H86" s="332" t="inlineStr">
        <is>
          <t>-0.000</t>
        </is>
      </c>
      <c r="I86" s="332" t="inlineStr">
        <is>
          <t>0.663</t>
        </is>
      </c>
      <c r="J86" s="332" t="inlineStr">
        <is>
          <t>未通过</t>
        </is>
      </c>
      <c r="K86" s="332" t="inlineStr">
        <is>
          <t>P差20pp + R差0.3</t>
        </is>
      </c>
    </row>
    <row r="87" ht="16.5" customHeight="1" s="183">
      <c r="A87" s="332" t="n">
        <v>9</v>
      </c>
      <c r="B87" s="332" t="inlineStr">
        <is>
          <t>稀金014111</t>
        </is>
      </c>
      <c r="C87" s="332" t="inlineStr">
        <is>
          <t>持仓</t>
        </is>
      </c>
      <c r="D87" s="332" t="inlineStr">
        <is>
          <t>40%</t>
        </is>
      </c>
      <c r="E87" s="332" t="inlineStr">
        <is>
          <t>1.6:1</t>
        </is>
      </c>
      <c r="F87" s="332" t="inlineStr">
        <is>
          <t>0.64</t>
        </is>
      </c>
      <c r="G87" s="332" t="inlineStr">
        <is>
          <t>0.0%</t>
        </is>
      </c>
      <c r="H87" s="332" t="inlineStr">
        <is>
          <t>-0.000</t>
        </is>
      </c>
      <c r="I87" s="332" t="inlineStr">
        <is>
          <t>0.640</t>
        </is>
      </c>
      <c r="J87" s="332" t="inlineStr">
        <is>
          <t>未通过</t>
        </is>
      </c>
      <c r="K87" s="332" t="inlineStr">
        <is>
          <t>P差19pp + R差0.4</t>
        </is>
      </c>
    </row>
    <row r="88" ht="16.5" customHeight="1" s="183">
      <c r="A88" s="332" t="n">
        <v>10</v>
      </c>
    </row>
    <row r="89" ht="13.5" customHeight="1" s="183">
      <c r="A89" s="332" t="n">
        <v>11</v>
      </c>
    </row>
    <row r="90" ht="16.5" customHeight="1" s="183">
      <c r="B90" s="347" t="inlineStr">
        <is>
          <t>现金（基准线）</t>
        </is>
      </c>
      <c r="C90" s="332" t="inlineStr">
        <is>
          <t>基准</t>
        </is>
      </c>
      <c r="F90" s="332" t="inlineStr">
        <is>
          <t>0.00</t>
        </is>
      </c>
      <c r="I90" s="332" t="inlineStr">
        <is>
          <t>0.000</t>
        </is>
      </c>
      <c r="J90" s="332" t="inlineStr">
        <is>
          <t>基准</t>
        </is>
      </c>
      <c r="K90" s="332" t="inlineStr">
        <is>
          <t>Score=0，所有选项都要跟现金比</t>
        </is>
      </c>
    </row>
    <row r="91" ht="16.5" customHeight="1" s="183"/>
    <row r="92" ht="16.5" customHeight="1" s="183">
      <c r="A92" s="346" t="inlineStr">
        <is>
          <t>结论：现金该往哪分配</t>
        </is>
      </c>
    </row>
    <row r="93" ht="13.5" customHeight="1" s="183">
      <c r="A93" s="244" t="inlineStr">
        <is>
          <t>1. 长电科技(堆叠) P=75% R=4.5:1 Score=3.375 目标37%可投资金</t>
        </is>
      </c>
    </row>
    <row r="94" ht="16.5" customHeight="1" s="183">
      <c r="A94" s="244" t="inlineStr">
        <is>
          <t>2. 通富微电(堆叠) P=75% R=4.0:1 Score=3.000 目标33%可投资金</t>
        </is>
      </c>
    </row>
    <row r="95" ht="16.5" customHeight="1" s="183">
      <c r="A95" s="244" t="inlineStr">
        <is>
          <t>3. 养殖014415 P=70% R=2.0:1 Score=1.400 目标15%可投资金</t>
        </is>
      </c>
    </row>
    <row r="96" ht="16.5" customHeight="1" s="183">
      <c r="A96" s="244" t="inlineStr">
        <is>
          <t>4. 电池018926 P=65% R=2.0:1 Score=1.300 目标14%可投资金</t>
        </is>
      </c>
    </row>
    <row r="97" ht="16.5" customHeight="1" s="183"/>
    <row r="98" ht="16.5" customHeight="1" s="183"/>
    <row r="99" ht="16.5" customHeight="1" s="183">
      <c r="A99" s="245" t="inlineStr">
        <is>
          <t>机制库 &amp; 机会成本排序（2026-06-04审核）</t>
        </is>
      </c>
    </row>
    <row r="100" ht="16.5" customHeight="1" s="183">
      <c r="A100" s="246" t="inlineStr">
        <is>
          <t>审核日期: 2026-06-04 | 下次审核: 2026-06-18（每两周）| 设计依据: V4 Pro多轮讨论审核通过</t>
        </is>
      </c>
    </row>
    <row r="101" ht="16.5" customHeight="1" s="183"/>
    <row r="102" ht="13.5" customHeight="1" s="183">
      <c r="A102" s="350" t="inlineStr">
        <is>
          <t>【机制1】机会成本排序算法（Opportunity Cost Ranking）</t>
        </is>
      </c>
    </row>
    <row r="103" ht="16.5" customHeight="1" s="183">
      <c r="A103" s="248" t="inlineStr">
        <is>
          <t>【公式】</t>
        </is>
      </c>
      <c r="B103" s="332" t="inlineStr">
        <is>
          <t>吸引力Score = P×R - α×w×(1-P)  |  P=胜率(0-1) R=盈亏比 α=风险厌恶系数(=1) w=当前仓位占比</t>
        </is>
      </c>
    </row>
    <row r="104" ht="13.5" customHeight="1" s="183">
      <c r="A104" s="248" t="inlineStr">
        <is>
          <t>【大白话】</t>
        </is>
      </c>
      <c r="B104" s="332" t="inlineStr">
        <is>
          <t>机会多好(P×R) - 风险多重(仓位×不确定性)。P高R高=机会好，w高P低=钱锁在烂仓位里惩罚重</t>
        </is>
      </c>
    </row>
    <row r="105" ht="16.5" customHeight="1" s="183">
      <c r="A105" s="248" t="inlineStr">
        <is>
          <t>【原理】</t>
        </is>
      </c>
      <c r="B105" s="332" t="inlineStr">
        <is>
          <t>Kelly Criterion变体 + 集中度风险惩罚。Kelly公式算最优下注比例，这里加了仓位惩罚项防止钱锁在低P高仓位里</t>
        </is>
      </c>
    </row>
    <row r="106" ht="16.5" customHeight="1" s="183">
      <c r="A106" s="248" t="inlineStr">
        <is>
          <t>【何时用】</t>
        </is>
      </c>
      <c r="B106" s="332" t="inlineStr">
        <is>
          <t>①每次监控全流程完成后 ②新机会加入待重仓时 ③用户问现金往哪走 ④每两周定期审核</t>
        </is>
      </c>
    </row>
    <row r="107" ht="16.5" customHeight="1" s="183">
      <c r="A107" s="248" t="inlineStr">
        <is>
          <t>【设计原因】</t>
        </is>
      </c>
      <c r="B107" s="332" t="inlineStr">
        <is>
          <t>防止钱锁在烂仓位里。新机会w=0无惩罚（鼓励发现新机会），重仓+低P惩罚最重（倒逼清仓或等P回升）。现金Score=0是基准线，所有选项都要跟现金比</t>
        </is>
      </c>
    </row>
    <row r="108" ht="16.5" customHeight="1" s="183">
      <c r="A108" s="248" t="inlineStr">
        <is>
          <t>【科学依据】</t>
        </is>
      </c>
      <c r="B108" s="332" t="inlineStr">
        <is>
          <t>V4 Pro多轮讨论审核通过(2026-06-03)。不是直觉，是数学推导。Kelly Criterion是赌场最优下注理论，这里改编为投资吸引力评分</t>
        </is>
      </c>
    </row>
    <row r="109" ht="16.5" customHeight="1" s="183">
      <c r="A109" s="248" t="inlineStr">
        <is>
          <t>【参数说明】</t>
        </is>
      </c>
    </row>
    <row r="110" ht="16.5" customHeight="1" s="183"/>
    <row r="111" ht="16.5" customHeight="1" s="183">
      <c r="A111" s="350" t="inlineStr">
        <is>
          <t>【机制2】Spearman秩相关拟合算法（P值准确性校验）</t>
        </is>
      </c>
    </row>
    <row r="112" ht="16.5" customHeight="1" s="183">
      <c r="A112" s="248" t="inlineStr">
        <is>
          <t>【公式】</t>
        </is>
      </c>
      <c r="B112" s="332" t="inlineStr">
        <is>
          <t>拟合分 = ρ×50 + 50  |  ρ=Spearman秩相关系数（scipy.stats.spearmanr）</t>
        </is>
      </c>
    </row>
    <row r="113" ht="16.5" customHeight="1" s="183">
      <c r="A113" s="248" t="inlineStr">
        <is>
          <t>【大白话】</t>
        </is>
      </c>
      <c r="B113" s="332" t="inlineStr">
        <is>
          <t>P值趋势和价格走势一不一致。ρ=1完全一致（P涨价格就涨），ρ=-1完全反着来，ρ=0没关系</t>
        </is>
      </c>
    </row>
    <row r="114" ht="16.5" customHeight="1" s="183">
      <c r="A114" s="248" t="inlineStr">
        <is>
          <t>【原理】</t>
        </is>
      </c>
      <c r="B114" s="332" t="inlineStr">
        <is>
          <t>衡量P值累计趋势与价格累计趋势的单调一致性。允许非线性、允许滞后、不要求同天同向。只看方向对不对，不看幅度准不准</t>
        </is>
      </c>
    </row>
    <row r="115" ht="16.5" customHeight="1" s="183">
      <c r="A115" s="248" t="inlineStr">
        <is>
          <t>【何时用】</t>
        </is>
      </c>
      <c r="B115" s="332" t="inlineStr">
        <is>
          <t>①每两周定期 ②手动触发 ③样本≥5个数据点才有效（&lt;5不稳定，Spearman需要足够样本量）</t>
        </is>
      </c>
    </row>
    <row r="116" ht="13.5" customHeight="1" s="183">
      <c r="A116" s="248" t="inlineStr">
        <is>
          <t>【设计原因】</t>
        </is>
      </c>
      <c r="B116" s="332" t="inlineStr">
        <is>
          <t>看板是信息温度计，需要验证温度计准不准。拟合好=信源加分（P值可靠），拟合差=信源减分（P值可能虚高）。跑2-3轮复盘后过滤垃圾信源</t>
        </is>
      </c>
    </row>
    <row r="117" ht="18" customHeight="1" s="183">
      <c r="A117" s="248" t="inlineStr">
        <is>
          <t>【科学依据】</t>
        </is>
      </c>
      <c r="B117" s="332" t="inlineStr">
        <is>
          <t>Spearman比Pearson更适合金融时间序列。Pearson要求线性关系，Spearman只看单调性（方向一致就行）。金融数据很少线性，但方向关系很重要。V4 Pro审核通过</t>
        </is>
      </c>
    </row>
    <row r="118" ht="16.5" customHeight="1" s="183">
      <c r="A118" s="248" t="inlineStr">
        <is>
          <t>【输出解读】</t>
        </is>
      </c>
      <c r="B118" s="332" t="inlineStr">
        <is>
          <t>拟合分≥80=优秀（信源可靠） 60-80=合格（需关注） &lt;60=不合格（信源可能有问题，需审查事件链）</t>
        </is>
      </c>
    </row>
    <row r="119" ht="16.5" customHeight="1" s="183"/>
    <row r="120" ht="16.5" customHeight="1" s="183">
      <c r="A120" s="249" t="inlineStr">
        <is>
          <t>机会成本+边际量排序表（全池：持仓+待重仓+现金）</t>
        </is>
      </c>
    </row>
    <row r="121" ht="16.5" customHeight="1" s="183">
      <c r="A121" s="250" t="inlineStr">
        <is>
          <t>排名</t>
        </is>
      </c>
      <c r="B121" s="250" t="inlineStr">
        <is>
          <t>选项</t>
        </is>
      </c>
      <c r="C121" s="250" t="inlineStr">
        <is>
          <t>类型</t>
        </is>
      </c>
      <c r="D121" s="250" t="inlineStr">
        <is>
          <t>P值</t>
        </is>
      </c>
      <c r="E121" s="250" t="inlineStr">
        <is>
          <t>盈亏比R</t>
        </is>
      </c>
      <c r="F121" s="250" t="inlineStr">
        <is>
          <t>P×R(吸引力)</t>
        </is>
      </c>
      <c r="G121" s="250" t="inlineStr">
        <is>
          <t>仓位w</t>
        </is>
      </c>
      <c r="H121" s="250" t="inlineStr">
        <is>
          <t>风险惩罚</t>
        </is>
      </c>
      <c r="I121" s="250" t="inlineStr">
        <is>
          <t>Score</t>
        </is>
      </c>
      <c r="J121" s="250" t="inlineStr">
        <is>
          <t>双门槛</t>
        </is>
      </c>
      <c r="K121" s="250" t="inlineStr">
        <is>
          <t>决策信号</t>
        </is>
      </c>
      <c r="L121" s="250" t="inlineStr">
        <is>
          <t>边际量说明</t>
        </is>
      </c>
    </row>
    <row r="122" ht="13.5" customHeight="1" s="183">
      <c r="A122" s="251" t="n">
        <v>1</v>
      </c>
      <c r="B122" s="251" t="inlineStr">
        <is>
          <t>长电科技(堆叠)</t>
        </is>
      </c>
      <c r="C122" s="251" t="inlineStr">
        <is>
          <t>待重仓</t>
        </is>
      </c>
      <c r="D122" s="251" t="inlineStr">
        <is>
          <t>75%</t>
        </is>
      </c>
      <c r="E122" s="251" t="inlineStr">
        <is>
          <t>4.5:1</t>
        </is>
      </c>
      <c r="F122" s="251" t="inlineStr">
        <is>
          <t>3.375</t>
        </is>
      </c>
      <c r="G122" s="251" t="inlineStr">
        <is>
          <t>0.0%</t>
        </is>
      </c>
      <c r="H122" s="251" t="inlineStr">
        <is>
          <t>-0.0000</t>
        </is>
      </c>
      <c r="I122" s="251" t="inlineStr">
        <is>
          <t>3.3750</t>
        </is>
      </c>
      <c r="J122" s="251" t="inlineStr">
        <is>
          <t>✅通过</t>
        </is>
      </c>
      <c r="K122" s="251" t="inlineStr">
        <is>
          <t>目标37%可投资金</t>
        </is>
      </c>
      <c r="L122" s="251" t="inlineStr">
        <is>
          <t>堆叠第一梯队，安全边际大，PE30x合理偏低</t>
        </is>
      </c>
    </row>
    <row r="123" ht="13.5" customHeight="1" s="183">
      <c r="A123" s="251" t="n">
        <v>2</v>
      </c>
      <c r="B123" s="299" t="n"/>
      <c r="C123" s="299" t="n"/>
      <c r="D123" s="299" t="n"/>
      <c r="E123" s="299" t="n"/>
      <c r="F123" s="299" t="n"/>
      <c r="G123" s="299" t="n"/>
      <c r="H123" s="299" t="n"/>
      <c r="I123" s="299" t="n"/>
      <c r="J123" s="299" t="n"/>
      <c r="K123" s="299" t="n"/>
      <c r="L123" s="300" t="n"/>
    </row>
    <row r="124" ht="13.5" customHeight="1" s="183">
      <c r="A124" s="251" t="n">
        <v>3</v>
      </c>
      <c r="B124" s="251" t="inlineStr">
        <is>
          <t>养殖014415</t>
        </is>
      </c>
      <c r="C124" s="299" t="n"/>
      <c r="D124" s="299" t="n"/>
      <c r="E124" s="299" t="n"/>
      <c r="F124" s="299" t="n"/>
      <c r="G124" s="299" t="n"/>
      <c r="H124" s="299" t="n"/>
      <c r="I124" s="299" t="n"/>
      <c r="J124" s="299" t="n"/>
      <c r="K124" s="299" t="n"/>
      <c r="L124" s="300" t="n"/>
    </row>
    <row r="125" ht="13.5" customHeight="1" s="183">
      <c r="A125" s="251" t="n">
        <v>4</v>
      </c>
      <c r="B125" s="251" t="inlineStr">
        <is>
          <t>电池018926</t>
        </is>
      </c>
      <c r="C125" s="299" t="n"/>
      <c r="D125" s="299" t="n"/>
      <c r="E125" s="299" t="n"/>
      <c r="F125" s="299" t="n"/>
      <c r="G125" s="299" t="n"/>
      <c r="H125" s="299" t="n"/>
      <c r="I125" s="299" t="n"/>
      <c r="J125" s="299" t="n"/>
      <c r="K125" s="299" t="n"/>
      <c r="L125" s="300" t="n"/>
    </row>
    <row r="126" ht="13.5" customHeight="1" s="183">
      <c r="A126" s="228" t="n">
        <v>5</v>
      </c>
      <c r="B126" s="228" t="inlineStr">
        <is>
          <t>存储赛道</t>
        </is>
      </c>
      <c r="C126" s="299" t="n"/>
      <c r="D126" s="299" t="n"/>
      <c r="E126" s="299" t="n"/>
      <c r="F126" s="299" t="n"/>
      <c r="G126" s="299" t="n"/>
      <c r="H126" s="299" t="n"/>
      <c r="I126" s="299" t="n"/>
      <c r="J126" s="299" t="n"/>
      <c r="K126" s="299" t="n"/>
      <c r="L126" s="300" t="n"/>
    </row>
    <row r="127" ht="13.5" customHeight="1" s="183">
      <c r="A127" s="228" t="n">
        <v>6</v>
      </c>
      <c r="B127" s="228" t="inlineStr">
        <is>
          <t>核电赛道</t>
        </is>
      </c>
      <c r="C127" s="299" t="n"/>
      <c r="D127" s="299" t="n"/>
      <c r="E127" s="299" t="n"/>
      <c r="F127" s="299" t="n"/>
      <c r="G127" s="299" t="n"/>
      <c r="H127" s="299" t="n"/>
      <c r="I127" s="299" t="n"/>
      <c r="J127" s="299" t="n"/>
      <c r="K127" s="299" t="n"/>
      <c r="L127" s="300" t="n"/>
    </row>
    <row r="128" ht="13.5" customHeight="1" s="183">
      <c r="A128" s="228" t="n">
        <v>7</v>
      </c>
      <c r="B128" s="228" t="inlineStr">
        <is>
          <t>银行001595</t>
        </is>
      </c>
      <c r="C128" s="228" t="inlineStr">
        <is>
          <t>持仓</t>
        </is>
      </c>
      <c r="D128" s="228" t="inlineStr">
        <is>
          <t>48%</t>
        </is>
      </c>
      <c r="E128" s="228" t="inlineStr">
        <is>
          <t>1.5:1</t>
        </is>
      </c>
      <c r="F128" s="228" t="inlineStr">
        <is>
          <t>0.720</t>
        </is>
      </c>
      <c r="G128" s="228" t="inlineStr">
        <is>
          <t>5.0%</t>
        </is>
      </c>
      <c r="H128" s="228" t="inlineStr">
        <is>
          <t>-0.0260</t>
        </is>
      </c>
      <c r="I128" s="228" t="inlineStr">
        <is>
          <t>0.6940</t>
        </is>
      </c>
      <c r="J128" s="228" t="inlineStr">
        <is>
          <t>❌未通过</t>
        </is>
      </c>
      <c r="K128" s="228" t="inlineStr">
        <is>
          <t>P差12pp + R差0.5</t>
        </is>
      </c>
      <c r="L128" s="228" t="inlineStr">
        <is>
          <t>监控仓位，高股息防御</t>
        </is>
      </c>
    </row>
    <row r="129" ht="13.5" customHeight="1" s="183">
      <c r="A129" s="228" t="n">
        <v>8</v>
      </c>
      <c r="B129" s="299" t="n"/>
      <c r="C129" s="299" t="n"/>
      <c r="D129" s="299" t="n"/>
      <c r="E129" s="299" t="n"/>
      <c r="F129" s="299" t="n"/>
      <c r="G129" s="299" t="n"/>
      <c r="H129" s="299" t="n"/>
      <c r="I129" s="299" t="n"/>
      <c r="J129" s="299" t="n"/>
      <c r="K129" s="299" t="n"/>
      <c r="L129" s="300" t="n"/>
    </row>
    <row r="130" ht="15" customHeight="1" s="183">
      <c r="A130" s="228" t="n">
        <v>9</v>
      </c>
      <c r="B130" s="299" t="n"/>
      <c r="C130" s="299" t="n"/>
      <c r="D130" s="299" t="n"/>
      <c r="E130" s="299" t="n"/>
      <c r="F130" s="299" t="n"/>
      <c r="G130" s="299" t="n"/>
      <c r="H130" s="299" t="n"/>
      <c r="I130" s="299" t="n"/>
      <c r="J130" s="299" t="n"/>
      <c r="K130" s="299" t="n"/>
      <c r="L130" s="300" t="n"/>
    </row>
    <row r="131" ht="79.5" customHeight="1" s="183">
      <c r="A131" s="228" t="n">
        <v>10</v>
      </c>
      <c r="B131" s="299" t="n"/>
      <c r="C131" s="299" t="n"/>
      <c r="D131" s="299" t="n"/>
      <c r="E131" s="299" t="n"/>
      <c r="F131" s="299" t="n"/>
      <c r="G131" s="299" t="n"/>
      <c r="H131" s="299" t="n"/>
      <c r="I131" s="299" t="n"/>
      <c r="J131" s="299" t="n"/>
      <c r="K131" s="299" t="n"/>
      <c r="L131" s="300" t="n"/>
    </row>
    <row r="132" ht="13.5" customHeight="1" s="183">
      <c r="A132" s="252" t="inlineStr">
        <is>
          <t>-</t>
        </is>
      </c>
      <c r="B132" s="299" t="n"/>
      <c r="C132" s="299" t="n"/>
      <c r="D132" s="299" t="n"/>
      <c r="E132" s="299" t="n"/>
      <c r="F132" s="299" t="n"/>
      <c r="G132" s="299" t="n"/>
      <c r="H132" s="299" t="n"/>
      <c r="I132" s="299" t="n"/>
      <c r="J132" s="299" t="n"/>
      <c r="K132" s="299" t="n"/>
      <c r="L132" s="300" t="n"/>
    </row>
    <row r="133" ht="15" customHeight="1" s="183"/>
    <row r="134" ht="79.5" customHeight="1" s="183">
      <c r="A134" s="239" t="inlineStr">
        <is>
          <t>结论：现金该往哪分配（2026-06-04审核）</t>
        </is>
      </c>
    </row>
    <row r="135" ht="13.5" customHeight="1" s="183">
      <c r="A135" s="332" t="inlineStr">
        <is>
          <t>1.</t>
        </is>
      </c>
      <c r="B135" s="244" t="inlineStr">
        <is>
          <t>长电科技(堆叠) P=75% R=4.5:1 Score=3.3750 目标37%可投资金</t>
        </is>
      </c>
    </row>
    <row r="136" ht="18" customHeight="1" s="183">
      <c r="A136" s="332" t="inlineStr">
        <is>
          <t>2.</t>
        </is>
      </c>
    </row>
    <row r="137" ht="32.25" customHeight="1" s="183">
      <c r="A137" s="332" t="inlineStr">
        <is>
          <t>3.</t>
        </is>
      </c>
      <c r="B137" s="244" t="inlineStr">
        <is>
          <t>养殖014415 P=70% R=2.0:1 Score=1.3700 目标15%可投资金</t>
        </is>
      </c>
    </row>
    <row r="138" ht="63.75" customHeight="1" s="183">
      <c r="A138" s="332" t="inlineStr">
        <is>
          <t>4.</t>
        </is>
      </c>
      <c r="B138" s="244" t="inlineStr">
        <is>
          <t>电池018926 P=65% R=2.0:1 Score=1.2580 目标14%可投资金</t>
        </is>
      </c>
    </row>
    <row r="139" ht="63.75" customHeight="1" s="183"/>
    <row r="140" ht="13.5" customHeight="1" s="183">
      <c r="A140" s="254" t="inlineStr">
        <is>
          <t>【宏观环境】4空2平1偏多。利率高位+关税利空+能源下行=宏观偏空，但产业端芯片/堆叠独立走强</t>
        </is>
      </c>
    </row>
    <row r="141" ht="16.5" customHeight="1" s="183">
      <c r="A141" s="254" t="inlineStr">
        <is>
          <t>【进攻方向】堆叠赛道（长电/通富）=当前最优机会。P=75% R=4-4.5:1 Score=3.0-3.4，远超其他选项</t>
        </is>
      </c>
    </row>
    <row r="142" ht="16.5" customHeight="1" s="183">
      <c r="A142" s="254" t="inlineStr">
        <is>
          <t>【防守方向】养殖P=70%最稳但R=2.0有限；电池P=65%次之</t>
        </is>
      </c>
    </row>
    <row r="143" ht="16.5" customHeight="1" s="183">
      <c r="A143" s="254" t="inlineStr">
        <is>
          <t>【观察项】存储P=55%差5pp过门槛（安全边际不足）；核电P=52%差8pp（10年维度不急）</t>
        </is>
      </c>
    </row>
    <row r="144" ht="16.5" customHeight="1" s="183">
      <c r="A144" s="254" t="inlineStr">
        <is>
          <t>【现金基准】所有Score&gt;0的选项都比持有现金好。但必须通过双门槛(P≥60%且R≥2.0)才建议分配</t>
        </is>
      </c>
    </row>
    <row r="145" ht="16.5" customHeight="1" s="183">
      <c r="A145" s="254" t="inlineStr">
        <is>
          <t>【下次审核】2026-06-18（每两周）。触发条件：①P值跨越60%阈值 ②新机会加入 ③用户问现金往哪走</t>
        </is>
      </c>
    </row>
    <row r="146" ht="16.5" customHeight="1" s="183"/>
    <row r="147" ht="16.5" customHeight="1" s="183">
      <c r="A147" s="255" t="inlineStr">
        <is>
          <t>【Row3基本信息恢复】（2026-06-04从backup_0603恢复）</t>
        </is>
      </c>
    </row>
    <row r="148" ht="16.5" customHeight="1" s="183">
      <c r="A148" s="256" t="inlineStr">
        <is>
          <t>恢复: 成本¥3695
净值3.6875
P:41%
虚P+4pp
有效P:35%</t>
        </is>
      </c>
      <c r="B148" s="256" t="inlineStr">
        <is>
          <t>恢复: 成本¥6811
净值1.8418
P:67%
有效P:61%</t>
        </is>
      </c>
      <c r="C148" s="256" t="inlineStr">
        <is>
          <t>恢复: 成本¥4722
净值0.6619
P:38%
有效P:32%</t>
        </is>
      </c>
      <c r="D148" s="256" t="inlineStr">
        <is>
          <t>恢复: 成本¥3732
净值0.7545
P:56%
有效P:56%</t>
        </is>
      </c>
      <c r="E148" s="256" t="inlineStr">
        <is>
          <t>恢复: 成本¥4800
净值1.8985
P:44%
有效P:40%</t>
        </is>
      </c>
      <c r="F148" s="256" t="inlineStr">
        <is>
          <t>恢复: 成本¥5622
净值1.089
P:43%
有效P:39%</t>
        </is>
      </c>
      <c r="G148" s="256" t="inlineStr">
        <is>
          <t>恢复: P:50%
有效P:50%</t>
        </is>
      </c>
    </row>
    <row r="149" ht="13.5" customHeight="1" s="183"/>
    <row r="150" ht="18" customHeight="1" s="183">
      <c r="A150" s="255" t="inlineStr">
        <is>
          <t>【Row3基本信息恢复】（2026-06-04从backup_0603恢复）</t>
        </is>
      </c>
    </row>
    <row r="151" ht="13.5" customHeight="1" s="183">
      <c r="A151" s="256" t="inlineStr">
        <is>
          <t>恢复: 成本¥3695
净值3.6875
P:41%
虚P+4pp
有效P:35%</t>
        </is>
      </c>
      <c r="B151" s="256" t="inlineStr">
        <is>
          <t>恢复: 成本¥6811
净值1.8418
P:67%
有效P:61%</t>
        </is>
      </c>
      <c r="C151" s="256" t="inlineStr">
        <is>
          <t>恢复: 成本¥4722
净值0.6619
P:38%
有效P:32%</t>
        </is>
      </c>
      <c r="D151" s="256" t="inlineStr">
        <is>
          <t>恢复: 成本¥3732
净值0.7545
P:56%
有效P:56%</t>
        </is>
      </c>
      <c r="E151" s="256" t="inlineStr">
        <is>
          <t>恢复: 成本¥4800
净值1.8985
P:44%
有效P:40%</t>
        </is>
      </c>
      <c r="F151" s="256" t="inlineStr">
        <is>
          <t>恢复: 成本¥5622
净值1.089
P:43%
有效P:39%</t>
        </is>
      </c>
      <c r="G151" s="256" t="inlineStr">
        <is>
          <t>恢复: P:50%
有效P:50%</t>
        </is>
      </c>
    </row>
    <row r="152" ht="13.5" customHeight="1" s="183"/>
    <row r="153" ht="79.5" customHeight="1" s="183">
      <c r="A153" s="204" t="inlineStr">
        <is>
          <t>🔧 P值分层与拟合校验 (2026-06-05修复)</t>
        </is>
      </c>
    </row>
    <row r="154" ht="63.75" customHeight="1" s="183">
      <c r="A154" s="347" t="inlineStr">
        <is>
          <t>修复说明：</t>
        </is>
      </c>
      <c r="B154" s="205" t="inlineStr">
        <is>
          <t>① 虚P/实P彻底分列，下游计算只用实P</t>
        </is>
      </c>
    </row>
    <row r="155" ht="48" customHeight="1" s="183">
      <c r="B155" s="205" t="inlineStr">
        <is>
          <t>② 芯片拆产业层(65%)与宏观折价(-8pp)，有效P=57%（解决拟合0分）</t>
        </is>
      </c>
    </row>
    <row r="156" ht="63.75" customHeight="1" s="183"/>
    <row r="157" ht="63.75" customHeight="1" s="183"/>
    <row r="158" ht="13.5" customHeight="1" s="183">
      <c r="A158" s="257" t="inlineStr">
        <is>
          <t>持仓</t>
        </is>
      </c>
      <c r="B158" s="257" t="inlineStr">
        <is>
          <t>产业/基本面P</t>
        </is>
      </c>
      <c r="C158" s="257" t="inlineStr">
        <is>
          <t>宏观折价</t>
        </is>
      </c>
      <c r="D158" s="257" t="inlineStr">
        <is>
          <t>有效实P</t>
        </is>
      </c>
      <c r="E158" s="257" t="inlineStr">
        <is>
          <t>虚P(锁定)</t>
        </is>
      </c>
      <c r="F158" s="257" t="inlineStr">
        <is>
          <t>拟合状态</t>
        </is>
      </c>
    </row>
    <row r="159" ht="16.5" customHeight="1" s="183">
      <c r="A159" s="228" t="inlineStr">
        <is>
          <t>芯片</t>
        </is>
      </c>
      <c r="B159" s="228" t="inlineStr">
        <is>
          <t>65%</t>
        </is>
      </c>
      <c r="C159" s="228" t="inlineStr">
        <is>
          <t>-8pp(利率-6/三源-2)</t>
        </is>
      </c>
      <c r="D159" s="258" t="inlineStr">
        <is>
          <t>57%</t>
        </is>
      </c>
      <c r="E159" s="228" t="inlineStr">
        <is>
          <t>0pp</t>
        </is>
      </c>
      <c r="F159" s="228" t="inlineStr">
        <is>
          <t>🔴拟合0→待修复</t>
        </is>
      </c>
    </row>
    <row r="160" ht="48" customHeight="1" s="183">
      <c r="A160" s="228" t="inlineStr">
        <is>
          <t>电池</t>
        </is>
      </c>
      <c r="B160" s="228" t="inlineStr">
        <is>
          <t>69%</t>
        </is>
      </c>
      <c r="C160" s="228" t="inlineStr">
        <is>
          <t>-4pp(利率)</t>
        </is>
      </c>
      <c r="D160" s="258" t="inlineStr">
        <is>
          <t>65%</t>
        </is>
      </c>
      <c r="E160" s="228" t="inlineStr">
        <is>
          <t>0pp</t>
        </is>
      </c>
      <c r="F160" s="228" t="inlineStr">
        <is>
          <t>✅良好74</t>
        </is>
      </c>
    </row>
    <row r="161" ht="63.75" customHeight="1" s="183">
      <c r="A161" s="228" t="inlineStr">
        <is>
          <t>养殖</t>
        </is>
      </c>
      <c r="B161" s="228" t="inlineStr">
        <is>
          <t>70%</t>
        </is>
      </c>
      <c r="C161" s="228" t="inlineStr">
        <is>
          <t>-4pp(利率-2/去杠杆-1/能源-1)</t>
        </is>
      </c>
      <c r="D161" s="258" t="inlineStr">
        <is>
          <t>66%</t>
        </is>
      </c>
      <c r="E161" s="228" t="inlineStr">
        <is>
          <t>+4pp(锁定)</t>
        </is>
      </c>
      <c r="F161" s="228" t="inlineStr">
        <is>
          <t>❌差29→左侧时间差</t>
        </is>
      </c>
    </row>
    <row r="162" ht="48" customHeight="1" s="183">
      <c r="A162" s="228" t="inlineStr">
        <is>
          <t>恒科</t>
        </is>
      </c>
      <c r="B162" s="228" t="inlineStr">
        <is>
          <t>35%</t>
        </is>
      </c>
      <c r="C162" s="228" t="inlineStr">
        <is>
          <t>-8pp(利率-6/付鹏-2)</t>
        </is>
      </c>
      <c r="D162" s="259" t="inlineStr">
        <is>
          <t>27%</t>
        </is>
      </c>
      <c r="E162" s="228" t="inlineStr">
        <is>
          <t>0pp</t>
        </is>
      </c>
      <c r="F162" s="228" t="inlineStr">
        <is>
          <t>👍良好60</t>
        </is>
      </c>
    </row>
    <row r="163" ht="63.75" customHeight="1" s="183">
      <c r="A163" s="228" t="inlineStr">
        <is>
          <t>有色</t>
        </is>
      </c>
      <c r="B163" s="228" t="inlineStr">
        <is>
          <t>44%</t>
        </is>
      </c>
      <c r="C163" s="228" t="inlineStr">
        <is>
          <t>-3pp(利率)</t>
        </is>
      </c>
      <c r="D163" s="259" t="inlineStr">
        <is>
          <t>41%</t>
        </is>
      </c>
      <c r="E163" s="228" t="inlineStr">
        <is>
          <t>0pp</t>
        </is>
      </c>
      <c r="F163" s="228" t="inlineStr">
        <is>
          <t>✅良好71</t>
        </is>
      </c>
    </row>
    <row r="164" ht="13.5" customHeight="1" s="183">
      <c r="A164" s="228" t="inlineStr">
        <is>
          <t>稀金</t>
        </is>
      </c>
      <c r="B164" s="228" t="inlineStr">
        <is>
          <t>43%</t>
        </is>
      </c>
      <c r="C164" s="228" t="inlineStr">
        <is>
          <t>-3pp(利率)</t>
        </is>
      </c>
      <c r="D164" s="259" t="inlineStr">
        <is>
          <t>40%</t>
        </is>
      </c>
      <c r="E164" s="228" t="inlineStr">
        <is>
          <t>0pp</t>
        </is>
      </c>
      <c r="F164" s="228" t="inlineStr">
        <is>
          <t>👍良好70</t>
        </is>
      </c>
    </row>
    <row r="165" ht="13.5" customHeight="1" s="183">
      <c r="A165" s="228" t="inlineStr">
        <is>
          <t>银行</t>
        </is>
      </c>
      <c r="B165" s="228" t="inlineStr">
        <is>
          <t>50%</t>
        </is>
      </c>
      <c r="C165" s="228" t="inlineStr">
        <is>
          <t>-2pp(去杠杆)</t>
        </is>
      </c>
      <c r="D165" s="259" t="inlineStr">
        <is>
          <t>48%</t>
        </is>
      </c>
      <c r="E165" s="228" t="inlineStr">
        <is>
          <t>0pp</t>
        </is>
      </c>
      <c r="F165" s="228" t="inlineStr">
        <is>
          <t>未测</t>
        </is>
      </c>
    </row>
    <row r="166" ht="79.5" customHeight="1" s="183"/>
    <row r="167" ht="63.75" customHeight="1" s="183">
      <c r="A167" s="204" t="inlineStr">
        <is>
          <t>P值引擎原理说明 (2026-06-05)</t>
        </is>
      </c>
    </row>
    <row r="168" ht="48" customHeight="1" s="183"/>
    <row r="169" ht="63.75" customHeight="1" s="183">
      <c r="A169" s="347" t="inlineStr">
        <is>
          <t>一、同逻辑簇边际衰退</t>
        </is>
      </c>
    </row>
    <row r="170" ht="48" customHeight="1" s="183">
      <c r="A170" s="205" t="inlineStr">
        <is>
          <t>原理：同一条视频/同一个博主反复说同一件事，信息是冗余的，不能重复算pp。</t>
        </is>
      </c>
    </row>
    <row r="171" ht="79.5" customHeight="1" s="183">
      <c r="A171" s="205" t="inlineStr">
        <is>
          <t>L1 同博主+同日+同持仓+同方向 → 第2条起只算20%（×0.20）</t>
        </is>
      </c>
    </row>
    <row r="172" ht="13.5" customHeight="1" s="183">
      <c r="A172" s="205" t="inlineStr">
        <is>
          <t>L2 同博主+同周（7天内）+同方向 → 只算50%（×0.50）</t>
        </is>
      </c>
    </row>
    <row r="173" ht="13.5" customHeight="1" s="183">
      <c r="A173" s="205" t="inlineStr">
        <is>
          <t>反方向不衰退：同一天说了看多又说了看空，说明是不同论点，不衰退</t>
        </is>
      </c>
    </row>
    <row r="174" ht="63.75" customHeight="1" s="183">
      <c r="A174" s="205" t="inlineStr">
        <is>
          <t>代码：pvalue_engine.py 已就绪，下次写事件链时自动生效</t>
        </is>
      </c>
    </row>
    <row r="175" ht="48" customHeight="1" s="183"/>
    <row r="176" ht="48" customHeight="1" s="183">
      <c r="A176" s="347" t="inlineStr">
        <is>
          <t>二、pp给法标尺（定性+定量）</t>
        </is>
      </c>
    </row>
    <row r="177" ht="79.5" customHeight="1" s="183">
      <c r="A177" s="205" t="inlineStr">
        <is>
          <t>定性：今天听了会不会改变持仓决策？会→给pp，不会→不给</t>
        </is>
      </c>
    </row>
    <row r="178" ht="13.5" customHeight="1" s="183">
      <c r="A178" s="205" t="inlineStr">
        <is>
          <t>定量三档：±1pp（小调整）/ ±3pp（中催化）/ ±5pp（大转折）</t>
        </is>
      </c>
    </row>
    <row r="179" ht="16.5" customHeight="1" s="183">
      <c r="A179" s="205" t="inlineStr">
        <is>
          <t>禁止±2和±4。如果不知道该归哪档，说明不配给pp</t>
        </is>
      </c>
    </row>
    <row r="180" ht="13.5" customHeight="1" s="183">
      <c r="A180" s="205" t="inlineStr">
        <is>
          <t>虚P实P分开：虚P锁在虚P列不计入P值，落地转实P时打-1pp折</t>
        </is>
      </c>
    </row>
    <row r="181" ht="16.5" customHeight="1" s="183"/>
    <row r="182" ht="16.5" customHeight="1" s="183">
      <c r="A182" s="347" t="inlineStr">
        <is>
          <t>三、价格拟合校准（数据驱动）</t>
        </is>
      </c>
    </row>
    <row r="183" ht="16.5" customHeight="1" s="183">
      <c r="A183" s="205" t="inlineStr">
        <is>
          <t>原理：事件是输入，价格变动是输出。数据够了就能反推'这件事到底该值多少pp'</t>
        </is>
      </c>
    </row>
    <row r="184" ht="13.5" customHeight="1" s="183">
      <c r="A184" s="205" t="inlineStr">
        <is>
          <t>阶段0（现在）：每次写事件链自动记录事件后3天的价格变动</t>
        </is>
      </c>
    </row>
    <row r="185" ht="13.5" customHeight="1" s="183">
      <c r="A185" s="205" t="inlineStr">
        <is>
          <t>阶段1（100+条）：同类事件取平均价格响应，看谁准谁不准</t>
        </is>
      </c>
    </row>
    <row r="186" ht="16.5" customHeight="1" s="183">
      <c r="A186" s="205" t="inlineStr">
        <is>
          <t>阶段2（200+条）：岭回归校准，自动算出每类事件的合理pp值</t>
        </is>
      </c>
    </row>
    <row r="187" ht="16.5" customHeight="1" s="183">
      <c r="A187" s="205" t="inlineStr">
        <is>
          <t>当前进度：17条事件已记录，0条有价格数据（需修复映射）</t>
        </is>
      </c>
    </row>
    <row r="188" ht="16.5" customHeight="1" s="183">
      <c r="A188" s="205" t="inlineStr">
        <is>
          <t>代码：calibrate_pp.py 独立可执行，python3 calibrate_pp.py --status 查看</t>
        </is>
      </c>
    </row>
    <row r="189" ht="13.5" customHeight="1" s="183"/>
    <row r="190" ht="16.5" customHeight="1" s="183">
      <c r="A190" s="347" t="inlineStr">
        <is>
          <t>四、机制耦合关系</t>
        </is>
      </c>
    </row>
    <row r="191" ht="16.5" customHeight="1" s="183">
      <c r="A191" s="205" t="inlineStr">
        <is>
          <t>同逻辑簇衰退 → 减少重复计算 → 让pp更干净 → 价格拟合更准</t>
        </is>
      </c>
    </row>
    <row r="192" ht="16.5" customHeight="1" s="183">
      <c r="A192" s="205" t="inlineStr">
        <is>
          <t>pp标尺 → 给法统一 → 减少拍脑袋 → 回归校准有基准</t>
        </is>
      </c>
    </row>
    <row r="193" ht="17.15" customHeight="1" s="183">
      <c r="A193" s="205" t="inlineStr">
        <is>
          <t>价格拟合 → 反推合理pp → 校准标尺 → 形成闭环</t>
        </is>
      </c>
    </row>
    <row r="194" ht="17.15" customHeight="1" s="183">
      <c r="A194" s="205" t="inlineStr">
        <is>
          <t>三者互相依赖：衰退不做好→拟合噪声大；标尺不统一→回归没基准；拟合不做→永远拍脑袋</t>
        </is>
      </c>
    </row>
    <row r="195" ht="13.8" customHeight="1" s="183"/>
    <row r="196" ht="13.8" customHeight="1" s="183">
      <c r="A196" s="347" t="inlineStr">
        <is>
          <t>五、机制耦合状态 (2026-06-05修复)</t>
        </is>
      </c>
    </row>
    <row r="197" ht="17.15" customHeight="1" s="183"/>
    <row r="198" ht="17.15" customHeight="1" s="183">
      <c r="A198" s="347" t="inlineStr">
        <is>
          <t>M2→M1</t>
        </is>
      </c>
      <c r="B198" s="332" t="inlineStr">
        <is>
          <t>✅ 已耦合</t>
        </is>
      </c>
      <c r="C198" s="332" t="inlineStr">
        <is>
          <t>标尺产出raw_pp → 衰退引擎消费</t>
        </is>
      </c>
      <c r="D198" s="332" t="inlineStr">
        <is>
          <t>代码自动执行</t>
        </is>
      </c>
    </row>
    <row r="199" ht="17.15" customHeight="1" s="183">
      <c r="A199" s="347" t="inlineStr">
        <is>
          <t>M1→看板</t>
        </is>
      </c>
      <c r="B199" s="332" t="inlineStr">
        <is>
          <t>✅ 已耦合</t>
        </is>
      </c>
      <c r="C199" s="332" t="inlineStr">
        <is>
          <t>衰退后final_pp → 事件链写入</t>
        </is>
      </c>
      <c r="D199" s="332" t="inlineStr">
        <is>
          <t>代码自动执行</t>
        </is>
      </c>
    </row>
    <row r="200" ht="17.15" customHeight="1" s="183">
      <c r="A200" s="347" t="inlineStr">
        <is>
          <t>M3→M2</t>
        </is>
      </c>
      <c r="B200" s="332" t="inlineStr">
        <is>
          <t>✅ 已修复</t>
        </is>
      </c>
      <c r="C200" s="332" t="inlineStr">
        <is>
          <t>校准结果→calibrated_pps.json→make_event自动读</t>
        </is>
      </c>
      <c r="D200" s="332" t="inlineStr">
        <is>
          <t>python3 calibrate_pp.py --apply</t>
        </is>
      </c>
    </row>
    <row r="201" ht="17.15" customHeight="1" s="183"/>
    <row r="202" ht="13.8" customHeight="1" s="183">
      <c r="A202" s="347" t="inlineStr">
        <is>
          <t>验证命令</t>
        </is>
      </c>
    </row>
    <row r="203" ht="13.8" customHeight="1" s="183">
      <c r="A203" s="332" t="inlineStr">
        <is>
          <t>python3 -c "import pvalue_engine; pvalue_engine.make_event('t','2026-06-05','电池','bullish',2)" → 应该报错</t>
        </is>
      </c>
    </row>
    <row r="204" ht="17.15" customHeight="1" s="183">
      <c r="A204" s="332" t="inlineStr">
        <is>
          <t>python3 calibrate_pp.py --apply → M3→M2反馈回路</t>
        </is>
      </c>
    </row>
    <row r="205" ht="17.15" customHeight="1" s="183">
      <c r="A205" s="332" t="inlineStr">
        <is>
          <t>原理说明已写入Sheet2，耦合状态已更新</t>
        </is>
      </c>
    </row>
    <row r="206" ht="17.15" customHeight="1" s="183"/>
    <row r="207" ht="17.15" customHeight="1" s="183">
      <c r="A207" s="332" t="inlineStr">
        <is>
          <t>📊 6/5 监控更新（抖音+知乎，B站CDP限流阻塞）</t>
        </is>
      </c>
    </row>
    <row r="208" ht="17.15" customHeight="1" s="183">
      <c r="A208" s="332" t="inlineStr">
        <is>
          <t>养殖ETF</t>
        </is>
      </c>
      <c r="B208" s="332" t="inlineStr">
        <is>
          <t>电池</t>
        </is>
      </c>
      <c r="C208" s="332" t="inlineStr">
        <is>
          <t>黄金</t>
        </is>
      </c>
      <c r="D208" s="332" t="inlineStr">
        <is>
          <t>芯片</t>
        </is>
      </c>
      <c r="E208" s="332" t="inlineStr">
        <is>
          <t>恒科</t>
        </is>
      </c>
      <c r="F208" s="332" t="inlineStr">
        <is>
          <t>有色</t>
        </is>
      </c>
    </row>
    <row r="209" ht="13.8" customHeight="1" s="183">
      <c r="A209" s="224" t="inlineStr">
        <is>
          <t>2026-06-05
+1pp
【+1pp】生猪贸易：低价抄底母猪，行业融资枯竭，银行拒贷养猪，母猪未血流成河→底部临近但未到</t>
        </is>
      </c>
      <c r="B209" s="332" t="inlineStr">
        <is>
          <t>2026-06-05
+1pp
【+1pp】闻号：厄尔尼诺80%概率+AI用电爆发→电力/能源确定性受益，电池产业链间接利好</t>
        </is>
      </c>
      <c r="C209" s="224" t="inlineStr">
        <is>
          <t>2026-06-05
0pp
【0pp】古都闲云：黄金短期投机拥挤向上向下双压 vs 闻号：黄金替代美债成第一大储备→多空抵消</t>
        </is>
      </c>
      <c r="D209" s="332" t="inlineStr">
        <is>
          <t>2026-06-05
0pp
【+0pp】闻号：AI芯片出口管制升级(利好国产替代) vs 韩股vsA股结构差异拥挤度警告(利空)→抵消</t>
        </is>
      </c>
      <c r="E209" s="332" t="inlineStr">
        <is>
          <t>2026-06-05
-1pp
【-1pp】闻号：孙正义高杠杆AI泡沫风险+美股流动性饥渴+301关税60国→压制恒科</t>
        </is>
      </c>
      <c r="F209" s="332" t="inlineStr">
        <is>
          <t>2026-06-05
-1pp
【-1pp】闻号：301关税60国→工业金属需求预期下降，转口贸易路变窄</t>
        </is>
      </c>
      <c r="G209" s="332" t="inlineStr">
        <is>
          <t>2026-06-05
-1pp
【-1pp】闻号：301关税60国→稀土反制牌短期有效但长期不确定</t>
        </is>
      </c>
      <c r="H209" s="332" t="inlineStr">
        <is>
          <t>2026-06-05
-1pp
【-1pp】闻号：央行逆回购归零+DR007上穿政策利率→最宽松阶段过去，不利净息差</t>
        </is>
      </c>
    </row>
    <row r="210" ht="17.15" customHeight="1" s="183">
      <c r="A210" s="332" t="inlineStr">
        <is>
          <t>📊 6/6 监控更新（抖音+知乎，B站CDP限流持续）</t>
        </is>
      </c>
    </row>
    <row r="211" ht="17.15" customHeight="1" s="183">
      <c r="A211" s="332" t="inlineStr">
        <is>
          <t>2026-06-06
0pp
【0pp】博通AI收入+200%股价-15%=估值过高vsAI长期利好抵消</t>
        </is>
      </c>
      <c r="C211" s="332" t="inlineStr">
        <is>
          <t>2026-06-06
0pp
【0pp】Anthropic预警+Gemma4=AI叙事强化非事件</t>
        </is>
      </c>
      <c r="D211" s="332" t="inlineStr">
        <is>
          <t>2026-06-06
+1pp
【+1pp】生猪贸易：淘汰母猪价格加快=底部信号
【确认】伊娃：中小养户资金压力=融资恶化</t>
        </is>
      </c>
      <c r="G211" s="332" t="inlineStr">
        <is>
          <t>2026-06-06
0pp
【0pp】非农超预期/黑五=宏观冲击已部分定价</t>
        </is>
      </c>
    </row>
    <row r="212" ht="13.8" customHeight="1" s="183"/>
    <row r="213" ht="13.8" customHeight="1" s="183"/>
    <row r="214" ht="17.15" customHeight="1" s="183">
      <c r="A214" s="332" t="inlineStr">
        <is>
          <t>📊 机会成本排序表（2026-06-06 更新）</t>
        </is>
      </c>
    </row>
    <row r="215" ht="17.15" customHeight="1" s="183">
      <c r="A215" s="347" t="inlineStr">
        <is>
          <t>排名</t>
        </is>
      </c>
      <c r="B215" s="347" t="inlineStr">
        <is>
          <t>选项</t>
        </is>
      </c>
      <c r="C215" s="347" t="inlineStr">
        <is>
          <t>类型</t>
        </is>
      </c>
      <c r="D215" s="347" t="inlineStr">
        <is>
          <t>P值</t>
        </is>
      </c>
      <c r="E215" s="347" t="inlineStr">
        <is>
          <t>R=P/(1-P)</t>
        </is>
      </c>
      <c r="F215" s="347" t="inlineStr">
        <is>
          <t>P×R</t>
        </is>
      </c>
      <c r="G215" s="347" t="inlineStr">
        <is>
          <t>仓位w</t>
        </is>
      </c>
      <c r="H215" s="347" t="inlineStr">
        <is>
          <t>风险惩罚</t>
        </is>
      </c>
      <c r="I215" s="347" t="inlineStr">
        <is>
          <t>Score</t>
        </is>
      </c>
      <c r="J215" s="347" t="inlineStr">
        <is>
          <t>信号</t>
        </is>
      </c>
    </row>
    <row r="216" ht="17.15" customHeight="1" s="183">
      <c r="A216" s="332" t="n">
        <v>1</v>
      </c>
      <c r="B216" s="332" t="inlineStr">
        <is>
          <t>电池018926</t>
        </is>
      </c>
      <c r="C216" s="332" t="inlineStr">
        <is>
          <t>持仓</t>
        </is>
      </c>
      <c r="D216" s="332" t="inlineStr">
        <is>
          <t>67%</t>
        </is>
      </c>
      <c r="E216" s="332" t="inlineStr">
        <is>
          <t>2.03:1</t>
        </is>
      </c>
      <c r="F216" s="332" t="inlineStr">
        <is>
          <t>1.360</t>
        </is>
      </c>
      <c r="G216" s="332" t="inlineStr">
        <is>
          <t>12%</t>
        </is>
      </c>
      <c r="H216" s="332" t="inlineStr">
        <is>
          <t>-0.0396</t>
        </is>
      </c>
      <c r="I216" s="332" t="inlineStr">
        <is>
          <t>1.3207</t>
        </is>
      </c>
      <c r="J216" s="332" t="inlineStr">
        <is>
          <t>🟢优先</t>
        </is>
      </c>
    </row>
    <row r="217" ht="17.15" customHeight="1" s="183">
      <c r="A217" s="332" t="n">
        <v>2</v>
      </c>
      <c r="B217" s="332" t="inlineStr">
        <is>
          <t>原油162411</t>
        </is>
      </c>
      <c r="C217" s="332" t="inlineStr">
        <is>
          <t>待重</t>
        </is>
      </c>
      <c r="D217" s="332" t="inlineStr">
        <is>
          <t>60%</t>
        </is>
      </c>
      <c r="E217" s="332" t="inlineStr">
        <is>
          <t>1.50:1</t>
        </is>
      </c>
      <c r="F217" s="332" t="inlineStr">
        <is>
          <t>0.900</t>
        </is>
      </c>
      <c r="G217" s="332" t="inlineStr">
        <is>
          <t>0%</t>
        </is>
      </c>
      <c r="H217" s="332" t="inlineStr">
        <is>
          <t>-0.0000</t>
        </is>
      </c>
      <c r="I217" s="332" t="inlineStr">
        <is>
          <t>0.9000</t>
        </is>
      </c>
      <c r="J217" s="332" t="inlineStr">
        <is>
          <t>🟡观察</t>
        </is>
      </c>
    </row>
    <row r="218" ht="17.15" customHeight="1" s="183">
      <c r="A218" s="332" t="n">
        <v>3</v>
      </c>
      <c r="B218" s="332" t="inlineStr">
        <is>
          <t>养殖014415</t>
        </is>
      </c>
      <c r="C218" s="332" t="inlineStr">
        <is>
          <t>持仓</t>
        </is>
      </c>
      <c r="D218" s="332" t="inlineStr">
        <is>
          <t>56%</t>
        </is>
      </c>
      <c r="E218" s="332" t="inlineStr">
        <is>
          <t>1.27:1</t>
        </is>
      </c>
      <c r="F218" s="332" t="inlineStr">
        <is>
          <t>0.713</t>
        </is>
      </c>
      <c r="G218" s="332" t="inlineStr">
        <is>
          <t>10%</t>
        </is>
      </c>
      <c r="H218" s="332" t="inlineStr">
        <is>
          <t>-0.0440</t>
        </is>
      </c>
      <c r="I218" s="332" t="inlineStr">
        <is>
          <t>0.6687</t>
        </is>
      </c>
      <c r="J218" s="332" t="inlineStr">
        <is>
          <t>🟡观察</t>
        </is>
      </c>
    </row>
    <row r="219" ht="17.15" customHeight="1" s="183">
      <c r="A219" s="332" t="n">
        <v>4</v>
      </c>
      <c r="B219" s="332" t="inlineStr">
        <is>
          <t>存储</t>
        </is>
      </c>
      <c r="C219" s="332" t="inlineStr">
        <is>
          <t>待重</t>
        </is>
      </c>
      <c r="D219" s="332" t="inlineStr">
        <is>
          <t>51%</t>
        </is>
      </c>
      <c r="E219" s="332" t="inlineStr">
        <is>
          <t>1.04:1</t>
        </is>
      </c>
      <c r="F219" s="332" t="inlineStr">
        <is>
          <t>0.531</t>
        </is>
      </c>
      <c r="G219" s="332" t="inlineStr">
        <is>
          <t>0%</t>
        </is>
      </c>
      <c r="H219" s="332" t="inlineStr">
        <is>
          <t>-0.0000</t>
        </is>
      </c>
      <c r="I219" s="332" t="inlineStr">
        <is>
          <t>0.5308</t>
        </is>
      </c>
      <c r="J219" s="332" t="inlineStr">
        <is>
          <t>🟡观察</t>
        </is>
      </c>
    </row>
    <row r="220" ht="17.15" customHeight="1" s="183">
      <c r="A220" s="332" t="n">
        <v>5</v>
      </c>
      <c r="B220" s="332" t="inlineStr">
        <is>
          <t>核电</t>
        </is>
      </c>
      <c r="C220" s="332" t="inlineStr">
        <is>
          <t>待重</t>
        </is>
      </c>
      <c r="D220" s="332" t="inlineStr">
        <is>
          <t>50%</t>
        </is>
      </c>
      <c r="E220" s="332" t="inlineStr">
        <is>
          <t>1.00:1</t>
        </is>
      </c>
      <c r="F220" s="332" t="inlineStr">
        <is>
          <t>0.500</t>
        </is>
      </c>
      <c r="G220" s="332" t="inlineStr">
        <is>
          <t>0%</t>
        </is>
      </c>
      <c r="H220" s="332" t="inlineStr">
        <is>
          <t>-0.0000</t>
        </is>
      </c>
      <c r="I220" s="332" t="inlineStr">
        <is>
          <t>0.5000</t>
        </is>
      </c>
      <c r="J220" s="332" t="inlineStr">
        <is>
          <t>🟡观察</t>
        </is>
      </c>
    </row>
    <row r="221" ht="17.15" customHeight="1" s="183">
      <c r="A221" s="332" t="n">
        <v>6</v>
      </c>
      <c r="B221" s="332" t="inlineStr">
        <is>
          <t>芯片020628</t>
        </is>
      </c>
      <c r="C221" s="332" t="inlineStr">
        <is>
          <t>持仓</t>
        </is>
      </c>
      <c r="D221" s="332" t="inlineStr">
        <is>
          <t>48%</t>
        </is>
      </c>
      <c r="E221" s="332" t="inlineStr">
        <is>
          <t>0.92:1</t>
        </is>
      </c>
      <c r="F221" s="332" t="inlineStr">
        <is>
          <t>0.443</t>
        </is>
      </c>
      <c r="G221" s="332" t="inlineStr">
        <is>
          <t>15%</t>
        </is>
      </c>
      <c r="H221" s="332" t="inlineStr">
        <is>
          <t>-0.0780</t>
        </is>
      </c>
      <c r="I221" s="332" t="inlineStr">
        <is>
          <t>0.3651</t>
        </is>
      </c>
      <c r="J221" s="332" t="inlineStr">
        <is>
          <t>🟡观察</t>
        </is>
      </c>
    </row>
    <row r="222" ht="17.15" customHeight="1" s="183">
      <c r="A222" s="332" t="n">
        <v>7</v>
      </c>
      <c r="B222" s="332" t="inlineStr">
        <is>
          <t>银行001595</t>
        </is>
      </c>
      <c r="C222" s="332" t="inlineStr">
        <is>
          <t>持仓</t>
        </is>
      </c>
      <c r="D222" s="332" t="inlineStr">
        <is>
          <t>44%</t>
        </is>
      </c>
      <c r="E222" s="332" t="inlineStr">
        <is>
          <t>0.79:1</t>
        </is>
      </c>
      <c r="F222" s="332" t="inlineStr">
        <is>
          <t>0.346</t>
        </is>
      </c>
      <c r="G222" s="332" t="inlineStr">
        <is>
          <t>5%</t>
        </is>
      </c>
      <c r="H222" s="332" t="inlineStr">
        <is>
          <t>-0.0280</t>
        </is>
      </c>
      <c r="I222" s="332" t="inlineStr">
        <is>
          <t>0.3177</t>
        </is>
      </c>
      <c r="J222" s="332" t="inlineStr">
        <is>
          <t>🟡观察</t>
        </is>
      </c>
    </row>
    <row r="223" ht="17.15" customHeight="1" s="183">
      <c r="A223" s="332" t="n">
        <v>8</v>
      </c>
      <c r="B223" s="332" t="inlineStr">
        <is>
          <t>稀金014111</t>
        </is>
      </c>
      <c r="C223" s="332" t="inlineStr">
        <is>
          <t>持仓</t>
        </is>
      </c>
      <c r="D223" s="332" t="inlineStr">
        <is>
          <t>41%</t>
        </is>
      </c>
      <c r="E223" s="332" t="inlineStr">
        <is>
          <t>0.69:1</t>
        </is>
      </c>
      <c r="F223" s="332" t="inlineStr">
        <is>
          <t>0.285</t>
        </is>
      </c>
      <c r="G223" s="332" t="inlineStr">
        <is>
          <t>7%</t>
        </is>
      </c>
      <c r="H223" s="332" t="inlineStr">
        <is>
          <t>-0.0413</t>
        </is>
      </c>
      <c r="I223" s="332" t="inlineStr">
        <is>
          <t>0.2436</t>
        </is>
      </c>
      <c r="J223" s="332" t="inlineStr">
        <is>
          <t>🔴不动</t>
        </is>
      </c>
    </row>
    <row r="224" ht="17.15" customHeight="1" s="183">
      <c r="A224" s="332" t="n">
        <v>9</v>
      </c>
      <c r="B224" s="332" t="inlineStr">
        <is>
          <t>有色004433</t>
        </is>
      </c>
      <c r="C224" s="332" t="inlineStr">
        <is>
          <t>持仓</t>
        </is>
      </c>
      <c r="D224" s="332" t="inlineStr">
        <is>
          <t>39%</t>
        </is>
      </c>
      <c r="E224" s="332" t="inlineStr">
        <is>
          <t>0.64:1</t>
        </is>
      </c>
      <c r="F224" s="332" t="inlineStr">
        <is>
          <t>0.249</t>
        </is>
      </c>
      <c r="G224" s="332" t="inlineStr">
        <is>
          <t>8%</t>
        </is>
      </c>
      <c r="H224" s="332" t="inlineStr">
        <is>
          <t>-0.0488</t>
        </is>
      </c>
      <c r="I224" s="332" t="inlineStr">
        <is>
          <t>0.2005</t>
        </is>
      </c>
      <c r="J224" s="332" t="inlineStr">
        <is>
          <t>🔴不动</t>
        </is>
      </c>
    </row>
    <row r="225" ht="17.15" customHeight="1" s="183">
      <c r="A225" s="332" t="n">
        <v>10</v>
      </c>
      <c r="B225" s="332" t="inlineStr">
        <is>
          <t>恒科012349</t>
        </is>
      </c>
      <c r="C225" s="332" t="inlineStr">
        <is>
          <t>持仓</t>
        </is>
      </c>
      <c r="D225" s="332" t="inlineStr">
        <is>
          <t>33%</t>
        </is>
      </c>
      <c r="E225" s="332" t="inlineStr">
        <is>
          <t>0.49:1</t>
        </is>
      </c>
      <c r="F225" s="332" t="inlineStr">
        <is>
          <t>0.163</t>
        </is>
      </c>
      <c r="G225" s="332" t="inlineStr">
        <is>
          <t>0%</t>
        </is>
      </c>
      <c r="H225" s="332" t="inlineStr">
        <is>
          <t>-0.0000</t>
        </is>
      </c>
      <c r="I225" s="332" t="inlineStr">
        <is>
          <t>0.1625</t>
        </is>
      </c>
      <c r="J225" s="332" t="inlineStr">
        <is>
          <t>🔴不动</t>
        </is>
      </c>
    </row>
    <row r="226" ht="17.15" customHeight="1" s="183"/>
    <row r="227" ht="17.15" customHeight="1" s="183">
      <c r="A227" s="332" t="inlineStr">
        <is>
          <t>公式说明</t>
        </is>
      </c>
      <c r="B227" s="332" t="inlineStr">
        <is>
          <t>R = P/(1-P) — 纯P值转换，无拍脑袋参数。PE百分位数据补齐后可加PE修正乘子</t>
        </is>
      </c>
      <c r="C227" s="332" t="inlineStr">
        <is>
          <t>Score = P×R - α×w×(1-P)，α=1.0。Score&gt;0表示比持有现金好</t>
        </is>
      </c>
    </row>
    <row r="228" ht="17.15" customHeight="1" s="183">
      <c r="A228" s="332" t="inlineStr">
        <is>
          <t>R值校准说明（2026-06-06 小龙虾审核通过）</t>
        </is>
      </c>
      <c r="B228" s="332" t="inlineStr">
        <is>
          <t>用电池P=67%→R≈2.0校准k=1.0。当前无PE百分位数据，R完全由P驱动。未来加PE折扣=min(1,中位PE/当前PE)</t>
        </is>
      </c>
    </row>
    <row r="229" ht="13.8" customHeight="1" s="183"/>
    <row r="230" ht="17.15" customHeight="1" s="183"/>
    <row r="231" ht="13.8" customHeight="1" s="183">
      <c r="A231" s="347" t="inlineStr">
        <is>
          <t>📌 MLCC机会评估（2026-06-06）</t>
        </is>
      </c>
    </row>
    <row r="232" ht="17.15" customHeight="1" s="183">
      <c r="A232" s="332" t="inlineStr">
        <is>
          <t>结论：MLCC &lt; 芯片堆叠，差距不在一个量级</t>
        </is>
      </c>
    </row>
    <row r="233" ht="13.8" customHeight="1" s="183">
      <c r="A233" s="332" t="inlineStr">
        <is>
          <t>MLCC是被动元件，标准化高、竞争分散、毛利率一般。AI服务器用量×3-5倍是利好，但属于被动受益。</t>
        </is>
      </c>
    </row>
    <row r="234" ht="17.15" customHeight="1" s="183">
      <c r="A234" s="332" t="inlineStr">
        <is>
          <t>芯片堆叠是AI核心瓶颈，不可替代性极高，全球就长电/通富/台积电几家能做。</t>
        </is>
      </c>
    </row>
    <row r="235" ht="17.15" customHeight="1" s="183">
      <c r="A235" s="332" t="inlineStr">
        <is>
          <t>现金有限→优先堆叠。MLCC可关注（风华高科/三环集团），但不值得重仓。</t>
        </is>
      </c>
    </row>
    <row r="236" ht="17.15" customHeight="1" s="183">
      <c r="A236" s="332" t="inlineStr">
        <is>
          <t>P值预估：MLCC约45-50%（逻辑偏泛），芯片堆叠75%（逻辑硬）。差距明显。</t>
        </is>
      </c>
    </row>
    <row r="237" ht="17.15" customHeight="1" s="183">
      <c r="A237" s="332" t="inlineStr">
        <is>
          <t>--- 6/7 贝叶斯更新 ---</t>
        </is>
      </c>
    </row>
    <row r="238" ht="13.8" customHeight="1" s="183">
      <c r="A238" s="332" t="inlineStr">
        <is>
          <t>[A门] 事件筛选：</t>
        </is>
      </c>
    </row>
    <row r="239" ht="17.15" customHeight="1" s="183">
      <c r="A239" s="332" t="inlineStr">
        <is>
          <t xml:space="preserve">  ① 集团"养一天赔一天"全体重抛售 → 事件(产业基本面恶化=去产能加速) ✅</t>
        </is>
      </c>
    </row>
    <row r="240" ht="17.15" customHeight="1" s="183">
      <c r="A240" s="332" t="inlineStr">
        <is>
          <t xml:space="preserve">  ② 牧原90后接棒 → 事件(管理层变更) ✅</t>
        </is>
      </c>
    </row>
    <row r="241" ht="17.15" customHeight="1" s="183">
      <c r="A241" s="332" t="inlineStr">
        <is>
          <t xml:space="preserve">  ③ 非农超预期→黑五→加息预期 → 事件(宏观) ✅</t>
        </is>
      </c>
    </row>
    <row r="242" ht="13.8" customHeight="1" s="183">
      <c r="A242" s="332" t="inlineStr">
        <is>
          <t xml:space="preserve">  ④ AI基建=新高速公路(付鹏) → 观点(长期叙事) → P'</t>
        </is>
      </c>
    </row>
    <row r="243" ht="17.15" customHeight="1" s="183">
      <c r="A243" s="332" t="inlineStr">
        <is>
          <t xml:space="preserve">  ⑤ AI造AI(拿幸Anthropic) → 观点(AI叙事强化) → P'</t>
        </is>
      </c>
    </row>
    <row r="244" ht="17.15" customHeight="1" s="183">
      <c r="A244" s="332" t="inlineStr">
        <is>
          <t xml:space="preserve">  ⑥ 摩尔定律瓶颈(宋鸿兵) → 观点(芯片长期担忧) → P'</t>
        </is>
      </c>
    </row>
    <row r="245" ht="17.15" customHeight="1" s="183">
      <c r="A245" s="332" t="inlineStr">
        <is>
          <t xml:space="preserve">  ⑦ 全球央行扫货黄金/ECB黄金27% → 事件但6/6已部分覆盖 → 0pp</t>
        </is>
      </c>
    </row>
    <row r="246" ht="17.15" customHeight="1" s="183"/>
    <row r="247" ht="13.8" customHeight="1" s="183">
      <c r="A247" s="332" t="inlineStr">
        <is>
          <t>[B门] 宏观折价：</t>
        </is>
      </c>
    </row>
    <row r="248" ht="17.15" customHeight="1" s="183">
      <c r="A248" s="332" t="inlineStr">
        <is>
          <t xml:space="preserve">  ① 养殖抛售 → 无利率直接关联 → 不折价</t>
        </is>
      </c>
    </row>
    <row r="249" ht="17.15" customHeight="1" s="183">
      <c r="A249" s="332" t="inlineStr">
        <is>
          <t xml:space="preserve">  ② 非农加息 → 利率敏感资产(恒科)需折价 → -1pp</t>
        </is>
      </c>
    </row>
    <row r="250" ht="17.15" customHeight="1" s="183"/>
    <row r="251" ht="13.8" customHeight="1" s="183">
      <c r="A251" s="332" t="inlineStr">
        <is>
          <t>[C门] 逻辑簇去重：</t>
        </is>
      </c>
    </row>
    <row r="252" ht="17.15" customHeight="1" s="183">
      <c r="A252" s="332" t="inlineStr">
        <is>
          <t xml:space="preserve">  ① 生猪贸易+伊娃+猪猪女王 → 同一"去产能加速"逻辑簇 → 只计+1pp</t>
        </is>
      </c>
    </row>
    <row r="253" ht="17.15" customHeight="1" s="183">
      <c r="A253" s="332" t="inlineStr">
        <is>
          <t xml:space="preserve">  ② 付鹏AI基建+拿幸AI造AI → 同一"AI加速"逻辑簇 → 只计0pp(观点非事件)</t>
        </is>
      </c>
    </row>
    <row r="254" ht="13.8" customHeight="1" s="183">
      <c r="A254" s="332" t="inlineStr">
        <is>
          <t xml:space="preserve">  ③ 非农黑五 → 6/6已部分定价(银行0pp) → 恒科额外-1pp</t>
        </is>
      </c>
    </row>
    <row r="255" ht="17.15" customHeight="1" s="183"/>
    <row r="256" ht="17.15" customHeight="1" s="183">
      <c r="A256" s="332" t="inlineStr">
        <is>
          <t>[D门] 定性：</t>
        </is>
      </c>
    </row>
    <row r="257" ht="17.15" customHeight="1" s="183">
      <c r="A257" s="332" t="inlineStr">
        <is>
          <t xml:space="preserve">  养殖: 产业底信号强化，资产本质不变 → 微调+1pp</t>
        </is>
      </c>
    </row>
    <row r="258" ht="17.15" customHeight="1" s="183">
      <c r="A258" s="332" t="inlineStr">
        <is>
          <t xml:space="preserve">  恒科: 利率环境恶化，科技估值承压 → -1pp</t>
        </is>
      </c>
    </row>
    <row r="259" ht="17.15" customHeight="1" s="183"/>
    <row r="260" ht="17.15" customHeight="1" s="183">
      <c r="A260" s="332" t="inlineStr">
        <is>
          <t>[E门] 事实/观点分离：</t>
        </is>
      </c>
    </row>
    <row r="261">
      <c r="A261" s="332" t="inlineStr">
        <is>
          <t xml:space="preserve">  事实: 集团全体重抛售(生猪贸易证实) → 进主P → +1pp</t>
        </is>
      </c>
    </row>
    <row r="262">
      <c r="A262" s="332" t="inlineStr">
        <is>
          <t xml:space="preserve">  事实: 非农超预期→加息→黑五 → 进主P → 恒科-1pp</t>
        </is>
      </c>
    </row>
    <row r="263">
      <c r="A263" s="332" t="inlineStr">
        <is>
          <t xml:space="preserve">  观点: AI基建/造AI/摩尔定律 → 进P' → 不入主P</t>
        </is>
      </c>
    </row>
    <row r="264"/>
    <row r="265">
      <c r="A265" s="332" t="inlineStr">
        <is>
          <t>📊 P值调整结果：</t>
        </is>
      </c>
    </row>
    <row r="266">
      <c r="A266" s="332" t="inlineStr">
        <is>
          <t xml:space="preserve">  养殖008765: 56% → 57% (+1pp)</t>
        </is>
      </c>
    </row>
    <row r="267">
      <c r="A267" s="332" t="inlineStr">
        <is>
          <t xml:space="preserve">  芯片020628: 48% → 48% (0pp)</t>
        </is>
      </c>
    </row>
    <row r="268">
      <c r="A268" s="332" t="inlineStr">
        <is>
          <t xml:space="preserve">  AI027048: 51% → 51% (0pp)</t>
        </is>
      </c>
    </row>
    <row r="269">
      <c r="A269" s="332" t="inlineStr">
        <is>
          <t xml:space="preserve">  恒科009854: 33% → 32% (-1pp)</t>
        </is>
      </c>
    </row>
    <row r="270">
      <c r="A270" s="332" t="inlineStr">
        <is>
          <t xml:space="preserve">  其余持仓: 0pp</t>
        </is>
      </c>
    </row>
    <row r="271"/>
    <row r="272">
      <c r="A272" s="332" t="inlineStr">
        <is>
          <t>📋 P值链校验：</t>
        </is>
      </c>
    </row>
    <row r="273">
      <c r="A273" s="332" t="inlineStr">
        <is>
          <t xml:space="preserve">  养殖: 50-2-2+4+1+1(6/7去产能加速) = 52%... 等等</t>
        </is>
      </c>
    </row>
    <row r="274">
      <c r="A274" s="332" t="inlineStr">
        <is>
          <t xml:space="preserve">  重算: 50(base)-2(6/1)-2(6/2)+4(6/3)+1(6/5)+1(6/7) = 52%</t>
        </is>
      </c>
    </row>
    <row r="275">
      <c r="A275" s="332" t="inlineStr">
        <is>
          <t xml:space="preserve">  但当前记录56%→说明之前有其他调整未在此链记录</t>
        </is>
      </c>
    </row>
    <row r="276">
      <c r="A276" s="332" t="inlineStr">
        <is>
          <t xml:space="preserve">  保守处理: 56+1=57% (延续之前的累计值)</t>
        </is>
      </c>
    </row>
    <row r="277">
      <c r="A277" s="332" t="inlineStr">
        <is>
          <t xml:space="preserve">  恒科: 33-1=32%</t>
        </is>
      </c>
    </row>
    <row r="278">
      <c r="A278" s="363" t="inlineStr">
        <is>
          <t>2026-06-07
虚P+1pp
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</t>
        </is>
      </c>
      <c r="F278" s="363" t="inlineStr">
        <is>
          <t>2026-06-07
+1pp
【来源:环中星鉴知乎11条】
1.非农超预期-美股大跌纳指跌1100点
2.黄金大跌-短期承压
3.SpaceX+OpenAI+Anthropic天价IPO
4.富裕群体消费信心下降
5.中东主权资金出售集股
结论:短期避险但长期AI泡沫待爆</t>
        </is>
      </c>
    </row>
    <row r="279">
      <c r="A279" s="364" t="inlineStr">
        <is>
          <t>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  </is>
      </c>
      <c r="F279" s="364" t="inlineStr">
        <is>
          <t>2026-06-07
-1pp
环中星鉴知乎11条:
1.非农超预期-纳指跌1100点
2.黄金大跌-短期承压
3.SpaceX+OpenAI天价IPO水分
4.富裕群体消费信心下降
5.中东主权资金出售集股
结论:短期避险承压但长期AI泡沫待爆</t>
        </is>
      </c>
    </row>
    <row r="280">
      <c r="A280" s="364" t="inlineStr">
        <is>
          <t>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  </is>
      </c>
      <c r="F280" s="364" t="inlineStr">
        <is>
          <t>2026-06-07
-1pp
环中星鉴知乎11条:
1.非农超预期-纳指跌1100点
2.黄金大跌-短期承压
3.SpaceX+OpenAI天价IPO水分
4.富裕群体消费信心下降
5.中东主权资金出售集股
结论:短期避险承压但长期AI泡沫待爆</t>
        </is>
      </c>
    </row>
  </sheetData>
  <mergeCells count="49">
    <mergeCell ref="A58:K58"/>
    <mergeCell ref="A150:D150"/>
    <mergeCell ref="A130:H130"/>
    <mergeCell ref="B91:L91"/>
    <mergeCell ref="A48:K48"/>
    <mergeCell ref="B97:L97"/>
    <mergeCell ref="A128:L128"/>
    <mergeCell ref="B100:L100"/>
    <mergeCell ref="A24:H24"/>
    <mergeCell ref="A59:K59"/>
    <mergeCell ref="B90:L90"/>
    <mergeCell ref="A49:K49"/>
    <mergeCell ref="A51:K51"/>
    <mergeCell ref="B121:L121"/>
    <mergeCell ref="B96:L96"/>
    <mergeCell ref="A54:K54"/>
    <mergeCell ref="B86:L86"/>
    <mergeCell ref="A85:L85"/>
    <mergeCell ref="B120:L120"/>
    <mergeCell ref="A46:K46"/>
    <mergeCell ref="B101:L101"/>
    <mergeCell ref="B98:L98"/>
    <mergeCell ref="A126:L126"/>
    <mergeCell ref="A133:H133"/>
    <mergeCell ref="A75:K75"/>
    <mergeCell ref="A56:K56"/>
    <mergeCell ref="A125:L125"/>
    <mergeCell ref="A50:K50"/>
    <mergeCell ref="B88:L88"/>
    <mergeCell ref="B119:L119"/>
    <mergeCell ref="A55:K55"/>
    <mergeCell ref="A117:L117"/>
    <mergeCell ref="A57:K57"/>
    <mergeCell ref="B87:L87"/>
    <mergeCell ref="A47:K47"/>
    <mergeCell ref="A127:L127"/>
    <mergeCell ref="B99:L99"/>
    <mergeCell ref="A83:L83"/>
    <mergeCell ref="B118:L118"/>
    <mergeCell ref="A82:L82"/>
    <mergeCell ref="B92:L92"/>
    <mergeCell ref="A94:L94"/>
    <mergeCell ref="A103:L103"/>
    <mergeCell ref="A123:L123"/>
    <mergeCell ref="B95:L95"/>
    <mergeCell ref="A52:K52"/>
    <mergeCell ref="B89:L89"/>
    <mergeCell ref="A124:L124"/>
    <mergeCell ref="J4:J15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8.6171875" defaultRowHeight="15" customHeight="0" zeroHeight="0" outlineLevelRow="0"/>
  <cols>
    <col width="6" customWidth="1" style="332" min="1" max="1"/>
    <col width="14" customWidth="1" style="332" min="2" max="2"/>
    <col width="10" customWidth="1" style="332" min="3" max="3"/>
    <col width="14" customWidth="1" style="332" min="4" max="4"/>
    <col width="8" customWidth="1" style="332" min="5" max="9"/>
    <col width="12" customWidth="1" style="332" min="10" max="10"/>
    <col width="10" customWidth="1" style="332" min="11" max="11"/>
    <col width="14" customWidth="1" style="332" min="12" max="12"/>
    <col width="12" customWidth="1" style="332" min="13" max="13"/>
    <col width="16" customWidth="1" style="332" min="14" max="14"/>
  </cols>
  <sheetData>
    <row r="1" ht="17.25" customHeight="1" s="183">
      <c r="A1" s="237" t="inlineStr">
        <is>
          <t>📊 机会成本排序表 R=P/(1-P) 2026-06-06</t>
        </is>
      </c>
    </row>
    <row r="2" ht="15" customHeight="1" s="183">
      <c r="A2" s="315" t="inlineStr">
        <is>
          <t>审核: 2026-06-06 小龙虾多轮审核 | R=P/(1-P) 纯P值转换 | 芯片宏观降权 | 信源门控已嵌入</t>
        </is>
      </c>
      <c r="B2" s="261" t="n"/>
      <c r="C2" s="261" t="n"/>
      <c r="D2" s="261" t="n"/>
      <c r="E2" s="261" t="n"/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</row>
    <row r="3" ht="15" customHeight="1" s="183">
      <c r="A3" s="262" t="inlineStr">
        <is>
          <t>排名</t>
        </is>
      </c>
      <c r="B3" s="263" t="inlineStr">
        <is>
          <t>选项</t>
        </is>
      </c>
      <c r="C3" s="263" t="inlineStr">
        <is>
          <t>代码</t>
        </is>
      </c>
      <c r="D3" s="263" t="inlineStr">
        <is>
          <t>类型</t>
        </is>
      </c>
      <c r="E3" s="263" t="inlineStr">
        <is>
          <t>有效P</t>
        </is>
      </c>
      <c r="F3" s="263" t="inlineStr">
        <is>
          <t>R=P/(1-P)</t>
        </is>
      </c>
      <c r="G3" s="263" t="inlineStr">
        <is>
          <t>EV(P×R)</t>
        </is>
      </c>
      <c r="H3" s="263" t="inlineStr">
        <is>
          <t>仓位w</t>
        </is>
      </c>
      <c r="I3" s="263" t="inlineStr">
        <is>
          <t>Score</t>
        </is>
      </c>
      <c r="J3" s="263" t="inlineStr">
        <is>
          <t>EV分级</t>
        </is>
      </c>
      <c r="K3" s="263" t="inlineStr">
        <is>
          <t>信号</t>
        </is>
      </c>
      <c r="L3" s="264" t="n"/>
      <c r="M3" s="264" t="n"/>
      <c r="N3" s="264" t="n"/>
    </row>
    <row r="4" ht="17.15" customHeight="1" s="183">
      <c r="A4" s="332" t="n">
        <v>1</v>
      </c>
      <c r="B4" s="332" t="inlineStr">
        <is>
          <t>堆叠(长电/通富)</t>
        </is>
      </c>
      <c r="C4" s="332" t="inlineStr">
        <is>
          <t>600584/002156</t>
        </is>
      </c>
      <c r="D4" s="332" t="inlineStr">
        <is>
          <t>待重</t>
        </is>
      </c>
      <c r="E4" s="332" t="inlineStr">
        <is>
          <t>75%</t>
        </is>
      </c>
      <c r="F4" s="332" t="inlineStr">
        <is>
          <t>4.5:1</t>
        </is>
      </c>
      <c r="G4" s="332" t="n">
        <v>3.38</v>
      </c>
      <c r="H4" s="332" t="inlineStr">
        <is>
          <t>0%</t>
        </is>
      </c>
      <c r="I4" s="332" t="n">
        <v>3.38</v>
      </c>
      <c r="J4" s="332" t="inlineStr">
        <is>
          <t>正期望</t>
        </is>
      </c>
      <c r="K4" s="332" t="inlineStr">
        <is>
          <t>🟢优先</t>
        </is>
      </c>
    </row>
    <row r="5" ht="16.5" customHeight="1" s="183">
      <c r="A5" s="237" t="n">
        <v>2</v>
      </c>
      <c r="B5" s="332" t="inlineStr">
        <is>
          <t>电池009759</t>
        </is>
      </c>
      <c r="C5" s="332" t="inlineStr">
        <is>
          <t>009759</t>
        </is>
      </c>
      <c r="D5" s="332" t="inlineStr">
        <is>
          <t>持仓</t>
        </is>
      </c>
      <c r="E5" s="332" t="inlineStr">
        <is>
          <t>67%</t>
        </is>
      </c>
      <c r="F5" s="332" t="inlineStr">
        <is>
          <t>2.03:1</t>
        </is>
      </c>
      <c r="G5" s="332" t="n">
        <v>1.36</v>
      </c>
      <c r="H5" s="332" t="inlineStr">
        <is>
          <t>15%</t>
        </is>
      </c>
      <c r="I5" s="332" t="n">
        <v>1.31</v>
      </c>
      <c r="J5" s="332" t="inlineStr">
        <is>
          <t>正期望</t>
        </is>
      </c>
      <c r="K5" s="332" t="inlineStr">
        <is>
          <t>🟢优先</t>
        </is>
      </c>
      <c r="L5" s="332" t="n"/>
      <c r="M5" s="265" t="n"/>
      <c r="N5" s="265" t="n"/>
    </row>
    <row r="6" ht="48" customHeight="1" s="183">
      <c r="A6" s="266" t="n">
        <v>3</v>
      </c>
      <c r="B6" s="332" t="inlineStr">
        <is>
          <t>原油162411</t>
        </is>
      </c>
      <c r="C6" s="332" t="inlineStr">
        <is>
          <t>162411</t>
        </is>
      </c>
      <c r="D6" s="332" t="inlineStr">
        <is>
          <t>待重</t>
        </is>
      </c>
      <c r="E6" s="332" t="inlineStr">
        <is>
          <t>60%</t>
        </is>
      </c>
      <c r="F6" s="332" t="inlineStr">
        <is>
          <t>1.50:1</t>
        </is>
      </c>
      <c r="G6" s="332" t="n">
        <v>0.9</v>
      </c>
      <c r="H6" s="332" t="inlineStr">
        <is>
          <t>0%</t>
        </is>
      </c>
      <c r="I6" s="332" t="n">
        <v>0.9</v>
      </c>
      <c r="J6" s="332" t="inlineStr">
        <is>
          <t>弱正期望</t>
        </is>
      </c>
      <c r="K6" s="332" t="inlineStr">
        <is>
          <t>🟡观察</t>
        </is>
      </c>
      <c r="L6" s="332" t="n"/>
      <c r="M6" s="267" t="n"/>
      <c r="N6" s="268" t="n"/>
    </row>
    <row r="7" ht="32.25" customHeight="1" s="183">
      <c r="A7" s="254" t="n">
        <v>4</v>
      </c>
      <c r="B7" s="332" t="inlineStr">
        <is>
          <t>养殖008765</t>
        </is>
      </c>
      <c r="C7" s="332" t="inlineStr">
        <is>
          <t>008765</t>
        </is>
      </c>
      <c r="D7" s="332" t="inlineStr">
        <is>
          <t>持仓</t>
        </is>
      </c>
      <c r="E7" s="332" t="inlineStr">
        <is>
          <t>56%</t>
        </is>
      </c>
      <c r="F7" s="332" t="inlineStr">
        <is>
          <t>1.27:1</t>
        </is>
      </c>
      <c r="G7" s="332" t="n">
        <v>0.71</v>
      </c>
      <c r="H7" s="332" t="inlineStr">
        <is>
          <t>5%</t>
        </is>
      </c>
      <c r="I7" s="332" t="n">
        <v>0.6899999999999999</v>
      </c>
      <c r="J7" s="332" t="inlineStr">
        <is>
          <t>弱正期望</t>
        </is>
      </c>
      <c r="K7" s="332" t="inlineStr">
        <is>
          <t>🟡观察</t>
        </is>
      </c>
      <c r="L7" s="332" t="n"/>
      <c r="M7" s="267" t="n"/>
      <c r="N7" s="268" t="n"/>
    </row>
    <row r="8" ht="32.25" customHeight="1" s="183">
      <c r="A8" s="269" t="n">
        <v>5</v>
      </c>
      <c r="B8" s="269" t="inlineStr">
        <is>
          <t>存储赛道</t>
        </is>
      </c>
      <c r="C8" s="269" t="inlineStr">
        <is>
          <t>-</t>
        </is>
      </c>
      <c r="D8" s="269" t="inlineStr">
        <is>
          <t>待重</t>
        </is>
      </c>
      <c r="E8" s="269" t="inlineStr">
        <is>
          <t>51%</t>
        </is>
      </c>
      <c r="F8" s="269" t="inlineStr">
        <is>
          <t>1.04:1</t>
        </is>
      </c>
      <c r="G8" s="269" t="n">
        <v>0.53</v>
      </c>
      <c r="H8" s="269" t="inlineStr">
        <is>
          <t>0%</t>
        </is>
      </c>
      <c r="I8" s="269" t="n">
        <v>0.53</v>
      </c>
      <c r="J8" s="269" t="inlineStr">
        <is>
          <t>弱正期望</t>
        </is>
      </c>
      <c r="K8" s="269" t="inlineStr">
        <is>
          <t>🟡观察</t>
        </is>
      </c>
      <c r="L8" s="270" t="n"/>
      <c r="M8" s="267" t="n"/>
      <c r="N8" s="268" t="n"/>
    </row>
    <row r="9" ht="32.25" customHeight="1" s="183">
      <c r="A9" s="271" t="n">
        <v>6</v>
      </c>
      <c r="B9" s="272" t="inlineStr">
        <is>
          <t>核电赛道</t>
        </is>
      </c>
      <c r="C9" s="272" t="inlineStr">
        <is>
          <t>-</t>
        </is>
      </c>
      <c r="D9" s="272" t="inlineStr">
        <is>
          <t>待重</t>
        </is>
      </c>
      <c r="E9" s="272" t="inlineStr">
        <is>
          <t>50%</t>
        </is>
      </c>
      <c r="F9" s="272" t="inlineStr">
        <is>
          <t>1.00:1</t>
        </is>
      </c>
      <c r="G9" s="272" t="n">
        <v>0.5</v>
      </c>
      <c r="H9" s="272" t="inlineStr">
        <is>
          <t>0%</t>
        </is>
      </c>
      <c r="I9" s="272" t="n">
        <v>0.5</v>
      </c>
      <c r="J9" s="271" t="inlineStr">
        <is>
          <t>负期望</t>
        </is>
      </c>
      <c r="K9" s="272" t="inlineStr">
        <is>
          <t>🔴不动</t>
        </is>
      </c>
      <c r="L9" s="336" t="n"/>
      <c r="M9" s="267" t="n"/>
      <c r="N9" s="268" t="n"/>
    </row>
    <row r="10" ht="32.25" customHeight="1" s="183">
      <c r="A10" s="271" t="n">
        <v>7</v>
      </c>
      <c r="B10" s="272" t="inlineStr">
        <is>
          <t>MLCC(风华/三环)</t>
        </is>
      </c>
      <c r="C10" s="272" t="inlineStr">
        <is>
          <t>000636/300675</t>
        </is>
      </c>
      <c r="D10" s="272" t="inlineStr">
        <is>
          <t>待重</t>
        </is>
      </c>
      <c r="E10" s="272" t="inlineStr">
        <is>
          <t>47%</t>
        </is>
      </c>
      <c r="F10" s="272" t="inlineStr">
        <is>
          <t>0.89:1</t>
        </is>
      </c>
      <c r="G10" s="272" t="n">
        <v>0.42</v>
      </c>
      <c r="H10" s="272" t="inlineStr">
        <is>
          <t>0%</t>
        </is>
      </c>
      <c r="I10" s="272" t="n">
        <v>0.42</v>
      </c>
      <c r="J10" s="271" t="inlineStr">
        <is>
          <t>负期望</t>
        </is>
      </c>
      <c r="K10" s="272" t="inlineStr">
        <is>
          <t>🔴观察</t>
        </is>
      </c>
      <c r="L10" s="336" t="n"/>
      <c r="M10" s="267" t="n"/>
      <c r="N10" s="268" t="n"/>
    </row>
    <row r="11" ht="32.25" customHeight="1" s="183">
      <c r="A11" s="271" t="n">
        <v>8</v>
      </c>
      <c r="B11" s="272" t="inlineStr">
        <is>
          <t>芯片020628</t>
        </is>
      </c>
      <c r="C11" s="272" t="inlineStr">
        <is>
          <t>020628</t>
        </is>
      </c>
      <c r="D11" s="272" t="inlineStr">
        <is>
          <t>持仓</t>
        </is>
      </c>
      <c r="E11" s="272" t="inlineStr">
        <is>
          <t>48%</t>
        </is>
      </c>
      <c r="F11" s="272" t="inlineStr">
        <is>
          <t>0.92:1</t>
        </is>
      </c>
      <c r="G11" s="272" t="n">
        <v>0.44</v>
      </c>
      <c r="H11" s="272" t="inlineStr">
        <is>
          <t>8%</t>
        </is>
      </c>
      <c r="I11" s="272" t="n">
        <v>0.4</v>
      </c>
      <c r="J11" s="271" t="inlineStr">
        <is>
          <t>负期望</t>
        </is>
      </c>
      <c r="K11" s="272" t="inlineStr">
        <is>
          <t>🔴不动</t>
        </is>
      </c>
      <c r="L11" s="336" t="n"/>
      <c r="M11" s="267" t="n"/>
      <c r="N11" s="268" t="n"/>
    </row>
    <row r="12" ht="32.25" customHeight="1" s="183">
      <c r="A12" s="271" t="n">
        <v>9</v>
      </c>
      <c r="B12" s="272" t="inlineStr">
        <is>
          <t>银行001595</t>
        </is>
      </c>
      <c r="C12" s="272" t="inlineStr">
        <is>
          <t>001595</t>
        </is>
      </c>
      <c r="D12" s="272" t="inlineStr">
        <is>
          <t>持仓</t>
        </is>
      </c>
      <c r="E12" s="272" t="inlineStr">
        <is>
          <t>44%</t>
        </is>
      </c>
      <c r="F12" s="272" t="inlineStr">
        <is>
          <t>0.79:1</t>
        </is>
      </c>
      <c r="G12" s="272" t="n">
        <v>0.35</v>
      </c>
      <c r="H12" s="272" t="inlineStr">
        <is>
          <t>2%</t>
        </is>
      </c>
      <c r="I12" s="272" t="n">
        <v>0.33</v>
      </c>
      <c r="J12" s="271" t="inlineStr">
        <is>
          <t>负期望</t>
        </is>
      </c>
      <c r="K12" s="272" t="inlineStr">
        <is>
          <t>🔴不动</t>
        </is>
      </c>
      <c r="L12" s="336" t="n"/>
      <c r="M12" s="267" t="n"/>
      <c r="N12" s="268" t="n"/>
    </row>
    <row r="13" ht="32.25" customHeight="1" s="183">
      <c r="A13" s="273" t="n">
        <v>10</v>
      </c>
      <c r="B13" s="274" t="inlineStr">
        <is>
          <t>稀金008907</t>
        </is>
      </c>
      <c r="C13" s="274" t="inlineStr">
        <is>
          <t>008907</t>
        </is>
      </c>
      <c r="D13" s="274" t="inlineStr">
        <is>
          <t>持仓</t>
        </is>
      </c>
      <c r="E13" s="274" t="inlineStr">
        <is>
          <t>41%</t>
        </is>
      </c>
      <c r="F13" s="274" t="inlineStr">
        <is>
          <t>0.69:1</t>
        </is>
      </c>
      <c r="G13" s="274" t="n">
        <v>0.28</v>
      </c>
      <c r="H13" s="274" t="inlineStr">
        <is>
          <t>3%</t>
        </is>
      </c>
      <c r="I13" s="274" t="n">
        <v>0.27</v>
      </c>
      <c r="J13" s="273" t="inlineStr">
        <is>
          <t>负期望</t>
        </is>
      </c>
      <c r="K13" s="274" t="inlineStr">
        <is>
          <t>🔴不动</t>
        </is>
      </c>
      <c r="L13" s="336" t="n"/>
      <c r="M13" s="267" t="n"/>
      <c r="N13" s="268" t="n"/>
    </row>
    <row r="14" ht="32.25" customHeight="1" s="183">
      <c r="A14" s="273" t="n">
        <v>11</v>
      </c>
      <c r="B14" s="274" t="inlineStr">
        <is>
          <t>有色008826</t>
        </is>
      </c>
      <c r="C14" s="274" t="inlineStr">
        <is>
          <t>008826</t>
        </is>
      </c>
      <c r="D14" s="274" t="inlineStr">
        <is>
          <t>持仓</t>
        </is>
      </c>
      <c r="E14" s="274" t="inlineStr">
        <is>
          <t>39%</t>
        </is>
      </c>
      <c r="F14" s="274" t="inlineStr">
        <is>
          <t>0.64:1</t>
        </is>
      </c>
      <c r="G14" s="274" t="n">
        <v>0.25</v>
      </c>
      <c r="H14" s="274" t="inlineStr">
        <is>
          <t>4%</t>
        </is>
      </c>
      <c r="I14" s="274" t="n">
        <v>0.22</v>
      </c>
      <c r="J14" s="273" t="inlineStr">
        <is>
          <t>负期望</t>
        </is>
      </c>
      <c r="K14" s="274" t="inlineStr">
        <is>
          <t>🔴不动</t>
        </is>
      </c>
      <c r="L14" s="336" t="n"/>
      <c r="M14" s="267" t="n"/>
      <c r="N14" s="268" t="n"/>
    </row>
    <row r="15" ht="32.25" customHeight="1" s="183">
      <c r="A15" s="273" t="n">
        <v>12</v>
      </c>
      <c r="B15" s="274" t="inlineStr">
        <is>
          <t>恒科009854</t>
        </is>
      </c>
      <c r="C15" s="274" t="inlineStr">
        <is>
          <t>009854</t>
        </is>
      </c>
      <c r="D15" s="274" t="inlineStr">
        <is>
          <t>持仓</t>
        </is>
      </c>
      <c r="E15" s="274" t="inlineStr">
        <is>
          <t>33%</t>
        </is>
      </c>
      <c r="F15" s="274" t="inlineStr">
        <is>
          <t>0.49:1</t>
        </is>
      </c>
      <c r="G15" s="274" t="n">
        <v>0.16</v>
      </c>
      <c r="H15" s="274" t="inlineStr">
        <is>
          <t>6%</t>
        </is>
      </c>
      <c r="I15" s="274" t="n">
        <v>0.12</v>
      </c>
      <c r="J15" s="273" t="inlineStr">
        <is>
          <t>负期望</t>
        </is>
      </c>
      <c r="K15" s="274" t="inlineStr">
        <is>
          <t>🔴不动</t>
        </is>
      </c>
      <c r="L15" s="336" t="n"/>
      <c r="M15" s="267" t="n"/>
      <c r="N15" s="268" t="n"/>
    </row>
    <row r="16" ht="32.25" customHeight="1" s="183">
      <c r="A16" s="273" t="n"/>
      <c r="B16" s="274" t="n"/>
      <c r="C16" s="274" t="n"/>
      <c r="D16" s="274" t="n"/>
      <c r="E16" s="274" t="n"/>
      <c r="F16" s="274" t="n"/>
      <c r="G16" s="274" t="n"/>
      <c r="H16" s="274" t="n"/>
      <c r="I16" s="274" t="n"/>
      <c r="J16" s="273" t="n"/>
      <c r="K16" s="274" t="n"/>
      <c r="L16" s="336" t="n"/>
      <c r="M16" s="267" t="n"/>
      <c r="N16" s="268" t="n"/>
    </row>
    <row r="17" ht="16.5" customHeight="1" s="183">
      <c r="A17" s="273" t="n"/>
      <c r="B17" s="274" t="inlineStr">
        <is>
          <t>现金（基准）</t>
        </is>
      </c>
      <c r="C17" s="274" t="n"/>
      <c r="D17" s="274" t="n"/>
      <c r="E17" s="274" t="n"/>
      <c r="F17" s="274" t="n"/>
      <c r="G17" s="274" t="n">
        <v>0</v>
      </c>
      <c r="H17" s="274" t="n"/>
      <c r="I17" s="274" t="n">
        <v>0</v>
      </c>
      <c r="J17" s="273" t="inlineStr">
        <is>
          <t>基准</t>
        </is>
      </c>
      <c r="K17" s="274" t="n"/>
      <c r="L17" s="336" t="n"/>
      <c r="M17" s="336" t="n"/>
      <c r="N17" s="336" t="n"/>
    </row>
    <row r="18" ht="16.5" customHeight="1" s="183">
      <c r="A18" s="275" t="n"/>
      <c r="B18" s="276" t="n"/>
      <c r="C18" s="276" t="n"/>
      <c r="D18" s="276" t="n"/>
      <c r="E18" s="276" t="n"/>
      <c r="F18" s="276" t="n"/>
      <c r="G18" s="276" t="n"/>
      <c r="H18" s="276" t="n"/>
      <c r="I18" s="276" t="n"/>
      <c r="J18" s="275" t="n"/>
      <c r="K18" s="276" t="n"/>
      <c r="L18" s="336" t="n"/>
      <c r="M18" s="336" t="n"/>
      <c r="N18" s="336" t="n"/>
    </row>
    <row r="19" ht="32.25" customHeight="1" s="183">
      <c r="A19" s="275" t="inlineStr">
        <is>
          <t>结论：待重仓排序（2026-06-06 更新）</t>
        </is>
      </c>
      <c r="B19" s="276" t="n"/>
      <c r="C19" s="276" t="n"/>
      <c r="D19" s="276" t="n"/>
      <c r="E19" s="276" t="n"/>
      <c r="F19" s="276" t="n"/>
      <c r="G19" s="276" t="n"/>
      <c r="H19" s="276" t="n"/>
      <c r="I19" s="276" t="n"/>
      <c r="J19" s="275" t="n"/>
      <c r="K19" s="276" t="n"/>
      <c r="L19" s="336" t="n"/>
      <c r="M19" s="336" t="n"/>
      <c r="N19" s="336" t="n"/>
    </row>
    <row r="20" ht="15" customHeight="1" s="183">
      <c r="A20" s="277" t="inlineStr">
        <is>
          <t>1. 堆叠(长电/通富) P=75% R=4.5:1 — AI核心瓶颈，不可替代，🟢优先</t>
        </is>
      </c>
      <c r="B20" s="205" t="n"/>
      <c r="C20" s="205" t="n"/>
      <c r="D20" s="205" t="n"/>
      <c r="E20" s="205" t="n"/>
      <c r="F20" s="205" t="n"/>
      <c r="G20" s="205" t="n"/>
      <c r="H20" s="205" t="n"/>
      <c r="I20" s="205" t="n"/>
      <c r="J20" s="277" t="n"/>
      <c r="K20" s="205" t="n"/>
      <c r="L20" s="336" t="n"/>
      <c r="M20" s="336" t="n"/>
      <c r="N20" s="336" t="n"/>
    </row>
    <row r="21" ht="16.5" customHeight="1" s="183">
      <c r="A21" s="336" t="inlineStr">
        <is>
          <t>2. 原油162411 P=60% R=1.5:1 — 地缘驱动，🟡观察</t>
        </is>
      </c>
      <c r="B21" s="336" t="n"/>
      <c r="C21" s="336" t="n"/>
      <c r="D21" s="336" t="n"/>
      <c r="E21" s="336" t="n"/>
      <c r="F21" s="336" t="n"/>
      <c r="G21" s="336" t="n"/>
      <c r="H21" s="336" t="n"/>
      <c r="I21" s="336" t="n"/>
      <c r="J21" s="336" t="n"/>
      <c r="K21" s="336" t="n"/>
      <c r="L21" s="336" t="n"/>
      <c r="M21" s="336" t="n"/>
      <c r="N21" s="336" t="n"/>
    </row>
    <row r="22" ht="16.5" customHeight="1" s="183">
      <c r="A22" s="347" t="inlineStr">
        <is>
          <t>3. 存储赛道 P=51% R=1.04:1 — AI存储需求，🟡观察</t>
        </is>
      </c>
      <c r="L22" s="332" t="n"/>
      <c r="M22" s="332" t="n"/>
      <c r="N22" s="332" t="n"/>
    </row>
    <row r="23" ht="16.5" customHeight="1" s="183">
      <c r="A23" s="278" t="inlineStr">
        <is>
          <t>4. 核电赛道 P=50% R=1.0:1 — 长期逻辑，🟡观察</t>
        </is>
      </c>
      <c r="B23" s="332" t="n"/>
      <c r="C23" s="332" t="n"/>
      <c r="D23" s="332" t="n"/>
      <c r="E23" s="332" t="n"/>
      <c r="F23" s="332" t="n"/>
      <c r="G23" s="332" t="n"/>
      <c r="H23" s="332" t="n"/>
      <c r="I23" s="332" t="n"/>
      <c r="J23" s="332" t="n"/>
      <c r="K23" s="332" t="n"/>
      <c r="L23" s="332" t="n"/>
      <c r="M23" s="332" t="n"/>
      <c r="N23" s="332" t="n"/>
    </row>
    <row r="24" ht="16.5" customHeight="1" s="183">
      <c r="A24" s="347" t="inlineStr">
        <is>
          <t>5. MLCC(风华/三环) P=47% R=0.89:1 — 被动受益，逻辑泛，🔴不重仓</t>
        </is>
      </c>
      <c r="B24" s="332" t="n"/>
      <c r="C24" s="332" t="n"/>
      <c r="D24" s="332" t="n"/>
      <c r="E24" s="332" t="n"/>
      <c r="F24" s="332" t="n"/>
      <c r="G24" s="332" t="n"/>
      <c r="H24" s="332" t="n"/>
      <c r="I24" s="332" t="n"/>
      <c r="J24" s="332" t="n"/>
      <c r="K24" s="332" t="n"/>
      <c r="L24" s="332" t="n"/>
      <c r="M24" s="332" t="n"/>
      <c r="N24" s="332" t="n"/>
    </row>
    <row r="25" ht="16.5" customHeight="1" s="183">
      <c r="A25" s="342" t="n"/>
      <c r="B25" s="280" t="n"/>
      <c r="C25" s="280" t="n"/>
      <c r="D25" s="332" t="n"/>
      <c r="E25" s="332" t="n"/>
      <c r="F25" s="332" t="n"/>
      <c r="G25" s="332" t="n"/>
      <c r="H25" s="332" t="n"/>
      <c r="I25" s="332" t="n"/>
      <c r="J25" s="332" t="n"/>
      <c r="K25" s="332" t="n"/>
      <c r="L25" s="332" t="n"/>
      <c r="M25" s="332" t="n"/>
      <c r="N25" s="332" t="n"/>
    </row>
    <row r="26" ht="15" customHeight="1" s="183">
      <c r="A26" s="281" t="inlineStr">
        <is>
          <t>堆叠 vs MLCC：堆叠是AI不用就造不出来（硬逻辑），MLCC是AI用得多（泛逻辑）。差距明显。</t>
        </is>
      </c>
      <c r="B26" s="332" t="n"/>
      <c r="C26" s="332" t="n"/>
      <c r="D26" s="332" t="n"/>
      <c r="E26" s="332" t="n"/>
      <c r="F26" s="332" t="n"/>
      <c r="G26" s="332" t="n"/>
      <c r="H26" s="332" t="n"/>
      <c r="I26" s="332" t="n"/>
      <c r="J26" s="332" t="n"/>
      <c r="K26" s="332" t="n"/>
      <c r="L26" s="332" t="n"/>
      <c r="M26" s="332" t="n"/>
      <c r="N26" s="332" t="n"/>
    </row>
    <row r="27" ht="16.5" customHeight="1" s="183">
      <c r="A27" s="281" t="n"/>
      <c r="B27" s="332" t="n"/>
      <c r="C27" s="332" t="n"/>
      <c r="D27" s="332" t="n"/>
      <c r="E27" s="332" t="n"/>
      <c r="F27" s="332" t="n"/>
      <c r="G27" s="332" t="n"/>
      <c r="H27" s="332" t="n"/>
      <c r="I27" s="332" t="n"/>
      <c r="J27" s="332" t="n"/>
      <c r="K27" s="332" t="n"/>
      <c r="L27" s="332" t="n"/>
      <c r="M27" s="332" t="n"/>
      <c r="N27" s="332" t="n"/>
    </row>
    <row r="28" ht="16.5" customHeight="1" s="183">
      <c r="A28" s="281" t="n"/>
      <c r="B28" s="332" t="n"/>
      <c r="C28" s="332" t="n"/>
      <c r="D28" s="332" t="n"/>
      <c r="E28" s="332" t="n"/>
      <c r="F28" s="332" t="n"/>
      <c r="G28" s="332" t="n"/>
      <c r="H28" s="332" t="n"/>
      <c r="I28" s="332" t="n"/>
      <c r="J28" s="332" t="n"/>
      <c r="K28" s="332" t="n"/>
      <c r="L28" s="332" t="n"/>
      <c r="M28" s="332" t="n"/>
      <c r="N28" s="332" t="n"/>
    </row>
    <row r="29" ht="15" customHeight="1" s="183">
      <c r="A29" s="281" t="n"/>
      <c r="B29" s="332" t="n"/>
      <c r="C29" s="332" t="n"/>
      <c r="D29" s="332" t="n"/>
      <c r="E29" s="332" t="n"/>
      <c r="F29" s="332" t="n"/>
      <c r="G29" s="332" t="n"/>
      <c r="H29" s="332" t="n"/>
      <c r="I29" s="332" t="n"/>
      <c r="J29" s="332" t="n"/>
      <c r="K29" s="332" t="n"/>
      <c r="L29" s="332" t="n"/>
      <c r="M29" s="332" t="n"/>
      <c r="N29" s="332" t="n"/>
    </row>
    <row r="30" ht="16.5" customHeight="1" s="183">
      <c r="A30" s="281" t="inlineStr">
        <is>
          <t>毛利率</t>
        </is>
      </c>
      <c r="B30" s="332" t="inlineStr">
        <is>
          <t>30-40%</t>
        </is>
      </c>
      <c r="C30" s="332" t="inlineStr">
        <is>
          <t>40-50%+</t>
        </is>
      </c>
      <c r="D30" s="332" t="n"/>
      <c r="E30" s="332" t="n"/>
      <c r="F30" s="332" t="n"/>
      <c r="G30" s="332" t="n"/>
      <c r="H30" s="332" t="n"/>
      <c r="I30" s="332" t="n"/>
      <c r="J30" s="332" t="n"/>
      <c r="K30" s="332" t="n"/>
      <c r="L30" s="332" t="n"/>
      <c r="M30" s="332" t="n"/>
      <c r="N30" s="332" t="n"/>
    </row>
    <row r="31" ht="16.5" customHeight="1" s="183">
      <c r="A31" s="281" t="inlineStr">
        <is>
          <t>竞争格局</t>
        </is>
      </c>
      <c r="B31" s="332" t="inlineStr">
        <is>
          <t>分散，周期性强的</t>
        </is>
      </c>
      <c r="C31" s="332" t="inlineStr">
        <is>
          <t>寡头垄断，产能稀缺</t>
        </is>
      </c>
      <c r="D31" s="332" t="n"/>
      <c r="E31" s="332" t="n"/>
      <c r="F31" s="332" t="n"/>
      <c r="G31" s="332" t="n"/>
      <c r="H31" s="332" t="n"/>
      <c r="I31" s="332" t="n"/>
      <c r="J31" s="332" t="n"/>
      <c r="K31" s="332" t="n"/>
      <c r="L31" s="332" t="n"/>
      <c r="M31" s="332" t="n"/>
      <c r="N31" s="332" t="n"/>
    </row>
    <row r="32" ht="15" customHeight="1" s="183">
      <c r="A32" s="281" t="inlineStr">
        <is>
          <t>确定性</t>
        </is>
      </c>
      <c r="B32" s="332" t="inlineStr">
        <is>
          <t>中等</t>
        </is>
      </c>
      <c r="C32" s="332" t="inlineStr">
        <is>
          <t>高</t>
        </is>
      </c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</row>
    <row r="33" ht="15" customHeight="1" s="183">
      <c r="A33" s="281" t="inlineStr">
        <is>
          <t>结论</t>
        </is>
      </c>
      <c r="B33" s="332" t="inlineStr">
        <is>
          <t>关注但不值得重仓</t>
        </is>
      </c>
      <c r="C33" s="332" t="inlineStr">
        <is>
          <t>优先配置 ✅</t>
        </is>
      </c>
      <c r="D33" s="332" t="n"/>
      <c r="E33" s="332" t="n"/>
      <c r="F33" s="332" t="n"/>
      <c r="G33" s="332" t="n"/>
      <c r="H33" s="332" t="n"/>
      <c r="I33" s="332" t="n"/>
      <c r="J33" s="332" t="n"/>
      <c r="K33" s="332" t="n"/>
      <c r="L33" s="332" t="n"/>
      <c r="M33" s="332" t="n"/>
      <c r="N33" s="332" t="n"/>
    </row>
    <row r="34" ht="15" customHeight="1" s="183">
      <c r="A34" s="332" t="n"/>
      <c r="B34" s="332" t="n"/>
      <c r="C34" s="332" t="n"/>
      <c r="D34" s="332" t="n"/>
      <c r="E34" s="332" t="n"/>
      <c r="F34" s="332" t="n"/>
      <c r="G34" s="332" t="n"/>
      <c r="H34" s="332" t="n"/>
      <c r="I34" s="332" t="n"/>
      <c r="J34" s="332" t="n"/>
      <c r="K34" s="332" t="n"/>
      <c r="L34" s="332" t="n"/>
      <c r="M34" s="332" t="n"/>
      <c r="N34" s="332" t="n"/>
    </row>
    <row r="35" ht="15" customHeight="1" s="183">
      <c r="A35" s="347" t="inlineStr">
        <is>
          <t>核心逻辑：MLCC是'AI用得多所以买MLCC'（泛逻辑），堆叠是'AI不用堆叠就造不出来'（硬逻辑）</t>
        </is>
      </c>
      <c r="B35" s="332" t="n"/>
      <c r="C35" s="332" t="n"/>
      <c r="D35" s="332" t="n"/>
      <c r="E35" s="332" t="n"/>
      <c r="F35" s="332" t="n"/>
      <c r="G35" s="332" t="n"/>
      <c r="H35" s="332" t="n"/>
      <c r="I35" s="332" t="n"/>
      <c r="J35" s="332" t="n"/>
      <c r="K35" s="332" t="n"/>
      <c r="L35" s="332" t="n"/>
      <c r="M35" s="332" t="n"/>
      <c r="N35" s="332" t="n"/>
    </row>
    <row r="36" ht="15" customHeight="1" s="183">
      <c r="A36" s="282" t="n"/>
      <c r="B36" s="332" t="n"/>
      <c r="C36" s="332" t="n"/>
      <c r="D36" s="332" t="n"/>
      <c r="E36" s="332" t="n"/>
      <c r="F36" s="332" t="n"/>
      <c r="G36" s="332" t="n"/>
      <c r="H36" s="332" t="n"/>
      <c r="I36" s="332" t="n"/>
      <c r="J36" s="332" t="n"/>
      <c r="K36" s="332" t="n"/>
      <c r="L36" s="332" t="n"/>
      <c r="M36" s="332" t="n"/>
      <c r="N36" s="332" t="n"/>
    </row>
    <row r="37" ht="15" customHeight="1" s="183">
      <c r="A37" s="282" t="n"/>
      <c r="B37" s="332" t="n"/>
      <c r="C37" s="332" t="n"/>
      <c r="D37" s="332" t="n"/>
      <c r="E37" s="332" t="n"/>
      <c r="F37" s="332" t="n"/>
      <c r="G37" s="332" t="n"/>
      <c r="H37" s="332" t="n"/>
      <c r="I37" s="332" t="n"/>
      <c r="J37" s="332" t="n"/>
      <c r="K37" s="332" t="n"/>
      <c r="L37" s="332" t="n"/>
      <c r="M37" s="332" t="n"/>
      <c r="N37" s="332" t="n"/>
    </row>
    <row r="38" ht="15" customHeight="1" s="183">
      <c r="A38" s="282" t="n"/>
      <c r="B38" s="332" t="n"/>
      <c r="C38" s="332" t="n"/>
      <c r="D38" s="332" t="n"/>
      <c r="E38" s="332" t="n"/>
      <c r="F38" s="332" t="n"/>
      <c r="G38" s="332" t="n"/>
      <c r="H38" s="332" t="n"/>
      <c r="I38" s="332" t="n"/>
      <c r="J38" s="332" t="n"/>
      <c r="K38" s="332" t="n"/>
      <c r="L38" s="332" t="n"/>
      <c r="M38" s="332" t="n"/>
      <c r="N38" s="332" t="n"/>
    </row>
    <row r="39" ht="15" customHeight="1" s="183">
      <c r="A39" s="282" t="n"/>
      <c r="B39" s="332" t="n"/>
      <c r="C39" s="332" t="n"/>
      <c r="D39" s="332" t="n"/>
      <c r="E39" s="332" t="n"/>
      <c r="F39" s="332" t="n"/>
      <c r="G39" s="332" t="n"/>
      <c r="H39" s="332" t="n"/>
      <c r="I39" s="332" t="n"/>
      <c r="J39" s="332" t="n"/>
      <c r="K39" s="332" t="n"/>
      <c r="L39" s="332" t="n"/>
      <c r="M39" s="332" t="n"/>
      <c r="N39" s="332" t="n"/>
    </row>
    <row r="40" ht="15" customHeight="1" s="183">
      <c r="A40" s="282" t="n"/>
      <c r="B40" s="332" t="n"/>
      <c r="C40" s="332" t="n"/>
      <c r="D40" s="332" t="n"/>
      <c r="E40" s="332" t="n"/>
      <c r="F40" s="332" t="n"/>
      <c r="G40" s="332" t="n"/>
      <c r="H40" s="332" t="n"/>
      <c r="I40" s="332" t="n"/>
      <c r="J40" s="332" t="n"/>
      <c r="K40" s="332" t="n"/>
      <c r="L40" s="332" t="n"/>
      <c r="M40" s="332" t="n"/>
      <c r="N40" s="332" t="n"/>
    </row>
    <row r="41" ht="15" customHeight="1" s="183">
      <c r="A41" s="282" t="n"/>
      <c r="B41" s="332" t="n"/>
      <c r="C41" s="332" t="n"/>
      <c r="D41" s="332" t="n"/>
      <c r="E41" s="332" t="n"/>
      <c r="F41" s="332" t="n"/>
      <c r="G41" s="332" t="n"/>
      <c r="H41" s="332" t="n"/>
      <c r="I41" s="332" t="n"/>
      <c r="J41" s="332" t="n"/>
      <c r="K41" s="332" t="n"/>
      <c r="L41" s="332" t="n"/>
      <c r="M41" s="332" t="n"/>
      <c r="N41" s="332" t="n"/>
    </row>
    <row r="42" ht="15" customHeight="1" s="183">
      <c r="A42" s="282" t="n"/>
      <c r="B42" s="332" t="n"/>
      <c r="C42" s="332" t="n"/>
      <c r="D42" s="332" t="n"/>
      <c r="E42" s="332" t="n"/>
      <c r="F42" s="332" t="n"/>
      <c r="G42" s="332" t="n"/>
      <c r="H42" s="332" t="n"/>
      <c r="I42" s="332" t="n"/>
      <c r="J42" s="332" t="n"/>
      <c r="K42" s="332" t="n"/>
      <c r="L42" s="332" t="n"/>
      <c r="M42" s="332" t="n"/>
      <c r="N42" s="332" t="n"/>
    </row>
    <row r="43" ht="15" customHeight="1" s="183">
      <c r="A43" s="282" t="n"/>
      <c r="B43" s="332" t="n"/>
      <c r="C43" s="332" t="n"/>
      <c r="D43" s="332" t="n"/>
      <c r="E43" s="332" t="n"/>
      <c r="F43" s="332" t="n"/>
      <c r="G43" s="332" t="n"/>
      <c r="H43" s="332" t="n"/>
      <c r="I43" s="332" t="n"/>
      <c r="J43" s="332" t="n"/>
      <c r="K43" s="332" t="n"/>
      <c r="L43" s="332" t="n"/>
      <c r="M43" s="332" t="n"/>
      <c r="N43" s="332" t="n"/>
    </row>
    <row r="44" ht="15" customHeight="1" s="183">
      <c r="A44" s="282" t="n"/>
      <c r="B44" s="332" t="n"/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</row>
    <row r="45" ht="15" customHeight="1" s="183">
      <c r="A45" s="282" t="n"/>
      <c r="B45" s="332" t="n"/>
      <c r="C45" s="332" t="n"/>
      <c r="D45" s="332" t="n"/>
      <c r="E45" s="332" t="n"/>
      <c r="F45" s="332" t="n"/>
      <c r="G45" s="332" t="n"/>
      <c r="H45" s="332" t="n"/>
      <c r="I45" s="332" t="n"/>
      <c r="J45" s="332" t="n"/>
      <c r="K45" s="332" t="n"/>
      <c r="L45" s="332" t="n"/>
      <c r="M45" s="332" t="n"/>
      <c r="N45" s="332" t="n"/>
    </row>
    <row r="46" ht="15" customHeight="1" s="183">
      <c r="A46" s="332" t="n"/>
      <c r="B46" s="332" t="n"/>
      <c r="C46" s="332" t="n"/>
      <c r="D46" s="332" t="n"/>
      <c r="E46" s="332" t="n"/>
      <c r="F46" s="332" t="n"/>
      <c r="G46" s="332" t="n"/>
      <c r="H46" s="332" t="n"/>
      <c r="I46" s="332" t="n"/>
      <c r="J46" s="332" t="n"/>
      <c r="K46" s="332" t="n"/>
      <c r="L46" s="332" t="n"/>
      <c r="M46" s="332" t="n"/>
      <c r="N46" s="332" t="n"/>
    </row>
    <row r="47" ht="16.5" customHeight="1" s="183">
      <c r="A47" s="346" t="n"/>
      <c r="B47" s="332" t="n"/>
      <c r="C47" s="332" t="n"/>
      <c r="D47" s="332" t="n"/>
      <c r="E47" s="332" t="n"/>
      <c r="F47" s="332" t="n"/>
      <c r="G47" s="332" t="n"/>
      <c r="H47" s="332" t="n"/>
      <c r="I47" s="332" t="n"/>
      <c r="J47" s="332" t="n"/>
      <c r="K47" s="332" t="n"/>
      <c r="L47" s="332" t="n"/>
      <c r="M47" s="332" t="n"/>
      <c r="N47" s="332" t="n"/>
    </row>
    <row r="48" ht="15" customHeight="1" s="183">
      <c r="A48" s="343" t="n"/>
      <c r="B48" s="332" t="n"/>
      <c r="C48" s="332" t="n"/>
      <c r="D48" s="332" t="n"/>
      <c r="E48" s="332" t="n"/>
      <c r="F48" s="332" t="n"/>
      <c r="G48" s="332" t="n"/>
      <c r="H48" s="332" t="n"/>
      <c r="I48" s="332" t="n"/>
      <c r="J48" s="332" t="n"/>
      <c r="K48" s="332" t="n"/>
      <c r="L48" s="332" t="n"/>
      <c r="M48" s="332" t="n"/>
      <c r="N48" s="332" t="n"/>
    </row>
    <row r="49" ht="15" customHeight="1" s="183">
      <c r="A49" s="254" t="n"/>
      <c r="B49" s="332" t="n"/>
      <c r="C49" s="332" t="n"/>
      <c r="D49" s="332" t="n"/>
      <c r="E49" s="332" t="n"/>
      <c r="F49" s="332" t="n"/>
      <c r="G49" s="332" t="n"/>
      <c r="H49" s="332" t="n"/>
      <c r="I49" s="332" t="n"/>
      <c r="J49" s="332" t="n"/>
      <c r="K49" s="332" t="n"/>
      <c r="L49" s="332" t="n"/>
      <c r="M49" s="332" t="n"/>
      <c r="N49" s="332" t="n"/>
    </row>
    <row r="50" ht="15" customHeight="1" s="183">
      <c r="A50" s="254" t="n"/>
      <c r="B50" s="332" t="n"/>
      <c r="C50" s="332" t="n"/>
      <c r="D50" s="332" t="n"/>
      <c r="E50" s="332" t="n"/>
      <c r="F50" s="332" t="n"/>
      <c r="G50" s="332" t="n"/>
      <c r="H50" s="332" t="n"/>
      <c r="I50" s="332" t="n"/>
      <c r="J50" s="332" t="n"/>
      <c r="K50" s="332" t="n"/>
      <c r="L50" s="332" t="n"/>
      <c r="M50" s="332" t="n"/>
      <c r="N50" s="332" t="n"/>
    </row>
    <row r="51" ht="15" customHeight="1" s="183">
      <c r="A51" s="254" t="n"/>
      <c r="B51" s="332" t="n"/>
      <c r="C51" s="332" t="n"/>
      <c r="D51" s="332" t="n"/>
      <c r="E51" s="332" t="n"/>
      <c r="F51" s="332" t="n"/>
      <c r="G51" s="332" t="n"/>
      <c r="H51" s="332" t="n"/>
      <c r="I51" s="332" t="n"/>
      <c r="J51" s="332" t="n"/>
      <c r="K51" s="332" t="n"/>
      <c r="L51" s="332" t="n"/>
      <c r="M51" s="332" t="n"/>
      <c r="N51" s="332" t="n"/>
    </row>
    <row r="52" ht="15" customHeight="1" s="183">
      <c r="A52" s="254" t="n"/>
      <c r="B52" s="332" t="n"/>
      <c r="C52" s="332" t="n"/>
      <c r="D52" s="332" t="n"/>
      <c r="E52" s="332" t="n"/>
      <c r="F52" s="332" t="n"/>
      <c r="G52" s="332" t="n"/>
      <c r="H52" s="332" t="n"/>
      <c r="I52" s="332" t="n"/>
      <c r="J52" s="332" t="n"/>
      <c r="K52" s="332" t="n"/>
      <c r="L52" s="332" t="n"/>
      <c r="M52" s="332" t="n"/>
      <c r="N52" s="332" t="n"/>
    </row>
    <row r="53" ht="15" customHeight="1" s="183">
      <c r="A53" s="284" t="n"/>
      <c r="B53" s="332" t="n"/>
      <c r="C53" s="332" t="n"/>
      <c r="D53" s="332" t="n"/>
      <c r="E53" s="332" t="n"/>
      <c r="F53" s="332" t="n"/>
      <c r="G53" s="332" t="n"/>
      <c r="H53" s="332" t="n"/>
      <c r="I53" s="332" t="n"/>
      <c r="J53" s="332" t="n"/>
      <c r="K53" s="332" t="n"/>
      <c r="L53" s="332" t="n"/>
      <c r="M53" s="332" t="n"/>
      <c r="N53" s="332" t="n"/>
    </row>
    <row r="54" ht="15" customHeight="1" s="183">
      <c r="A54" s="254" t="n"/>
      <c r="B54" s="332" t="n"/>
      <c r="C54" s="332" t="n"/>
      <c r="D54" s="332" t="n"/>
      <c r="E54" s="332" t="n"/>
      <c r="F54" s="332" t="n"/>
      <c r="G54" s="332" t="n"/>
      <c r="H54" s="332" t="n"/>
      <c r="I54" s="332" t="n"/>
      <c r="J54" s="332" t="n"/>
      <c r="K54" s="332" t="n"/>
      <c r="L54" s="332" t="n"/>
      <c r="M54" s="332" t="n"/>
      <c r="N54" s="332" t="n"/>
    </row>
    <row r="55" ht="15" customHeight="1" s="183">
      <c r="A55" s="332" t="n"/>
      <c r="B55" s="332" t="n"/>
      <c r="C55" s="332" t="n"/>
      <c r="D55" s="332" t="n"/>
      <c r="E55" s="332" t="n"/>
      <c r="F55" s="332" t="n"/>
      <c r="G55" s="332" t="n"/>
      <c r="H55" s="332" t="n"/>
      <c r="I55" s="332" t="n"/>
      <c r="J55" s="332" t="n"/>
      <c r="K55" s="332" t="n"/>
      <c r="L55" s="332" t="n"/>
      <c r="M55" s="332" t="n"/>
      <c r="N55" s="332" t="n"/>
    </row>
    <row r="56" ht="15" customHeight="1" s="183">
      <c r="A56" s="332" t="n"/>
      <c r="B56" s="332" t="n"/>
      <c r="C56" s="332" t="n"/>
      <c r="D56" s="332" t="n"/>
      <c r="E56" s="332" t="n"/>
      <c r="F56" s="332" t="n"/>
      <c r="G56" s="332" t="n"/>
      <c r="H56" s="332" t="n"/>
      <c r="I56" s="332" t="n"/>
      <c r="J56" s="332" t="n"/>
      <c r="K56" s="332" t="n"/>
      <c r="L56" s="332" t="n"/>
      <c r="M56" s="332" t="n"/>
      <c r="N56" s="332" t="n"/>
    </row>
    <row r="57" ht="15" customHeight="1" s="183">
      <c r="A57" s="332" t="n"/>
      <c r="B57" s="332" t="n"/>
      <c r="C57" s="332" t="n"/>
      <c r="D57" s="332" t="n"/>
      <c r="E57" s="332" t="n"/>
      <c r="F57" s="332" t="n"/>
      <c r="G57" s="332" t="n"/>
      <c r="H57" s="332" t="n"/>
      <c r="I57" s="332" t="n"/>
      <c r="J57" s="332" t="n"/>
      <c r="K57" s="332" t="n"/>
      <c r="L57" s="332" t="n"/>
      <c r="M57" s="332" t="n"/>
      <c r="N57" s="332" t="n"/>
    </row>
    <row r="58" ht="15" customHeight="1" s="183">
      <c r="A58" s="332" t="n"/>
      <c r="B58" s="332" t="n"/>
      <c r="C58" s="332" t="n"/>
      <c r="D58" s="332" t="n"/>
      <c r="E58" s="332" t="n"/>
      <c r="F58" s="332" t="n"/>
      <c r="G58" s="332" t="n"/>
      <c r="H58" s="332" t="n"/>
      <c r="I58" s="332" t="n"/>
      <c r="J58" s="332" t="n"/>
      <c r="K58" s="332" t="n"/>
      <c r="L58" s="332" t="n"/>
      <c r="M58" s="332" t="n"/>
      <c r="N58" s="332" t="n"/>
    </row>
    <row r="59" ht="15" customHeight="1" s="183">
      <c r="A59" s="332" t="n"/>
      <c r="B59" s="332" t="n"/>
      <c r="C59" s="332" t="n"/>
      <c r="D59" s="332" t="n"/>
      <c r="E59" s="332" t="n"/>
      <c r="F59" s="332" t="n"/>
      <c r="G59" s="332" t="n"/>
      <c r="H59" s="332" t="n"/>
      <c r="I59" s="332" t="n"/>
      <c r="J59" s="332" t="n"/>
      <c r="K59" s="332" t="n"/>
      <c r="L59" s="332" t="n"/>
      <c r="M59" s="332" t="n"/>
      <c r="N59" s="3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6.5" customHeight="1" s="183">
      <c r="A1" s="332" t="inlineStr">
        <is>
          <t>P值vs价格拟合分析 (Spearman秩相关) 2026-06-03</t>
        </is>
      </c>
    </row>
    <row r="2" ht="16.5" customHeight="1" s="183">
      <c r="A2" s="332" t="inlineStr">
        <is>
          <t>持仓</t>
        </is>
      </c>
      <c r="B2" s="332" t="inlineStr">
        <is>
          <t>代码</t>
        </is>
      </c>
      <c r="C2" s="332" t="inlineStr">
        <is>
          <t>拟合分</t>
        </is>
      </c>
      <c r="D2" s="332" t="inlineStr">
        <is>
          <t>Spearman ρ</t>
        </is>
      </c>
      <c r="E2" s="332" t="inlineStr">
        <is>
          <t>p值</t>
        </is>
      </c>
      <c r="F2" s="332" t="inlineStr">
        <is>
          <t>样本数</t>
        </is>
      </c>
      <c r="G2" s="332" t="inlineStr">
        <is>
          <t>评级</t>
        </is>
      </c>
      <c r="H2" s="332" t="inlineStr">
        <is>
          <t>信源建议</t>
        </is>
      </c>
    </row>
    <row r="3" ht="15" customHeight="1" s="183">
      <c r="A3" s="332" t="inlineStr">
        <is>
          <t>电池</t>
        </is>
      </c>
      <c r="B3" s="332" t="inlineStr">
        <is>
          <t>009759</t>
        </is>
      </c>
      <c r="C3" s="332" t="n">
        <v>97</v>
      </c>
      <c r="D3" s="332" t="n">
        <v>0.966</v>
      </c>
      <c r="E3" s="332" t="n">
        <v>0</v>
      </c>
      <c r="F3" s="332" t="n">
        <v>9</v>
      </c>
      <c r="G3" s="332" t="inlineStr">
        <is>
          <t>✅优秀</t>
        </is>
      </c>
      <c r="H3" s="332" t="inlineStr">
        <is>
          <t>信源加分</t>
        </is>
      </c>
    </row>
    <row r="4" ht="15" customHeight="1" s="183">
      <c r="A4" s="332" t="inlineStr">
        <is>
          <t>养殖</t>
        </is>
      </c>
      <c r="B4" s="332" t="inlineStr">
        <is>
          <t>008765</t>
        </is>
      </c>
      <c r="C4" s="332" t="n">
        <v>95</v>
      </c>
      <c r="D4" s="332" t="n">
        <v>0.955</v>
      </c>
      <c r="E4" s="332" t="n">
        <v>0.001</v>
      </c>
      <c r="F4" s="332" t="n">
        <v>7</v>
      </c>
      <c r="G4" s="332" t="inlineStr">
        <is>
          <t>✅优秀</t>
        </is>
      </c>
      <c r="H4" s="332" t="inlineStr">
        <is>
          <t>信源加分</t>
        </is>
      </c>
    </row>
    <row r="5" ht="15" customHeight="1" s="183">
      <c r="A5" s="332" t="inlineStr">
        <is>
          <t>恒科</t>
        </is>
      </c>
      <c r="B5" s="332" t="inlineStr">
        <is>
          <t>009854</t>
        </is>
      </c>
      <c r="C5" s="332" t="n">
        <v>75</v>
      </c>
      <c r="D5" s="332" t="n">
        <v>0.754</v>
      </c>
      <c r="E5" s="332" t="n">
        <v>0.08400000000000001</v>
      </c>
      <c r="F5" s="332" t="n">
        <v>6</v>
      </c>
      <c r="G5" s="332" t="inlineStr">
        <is>
          <t>✅优秀</t>
        </is>
      </c>
      <c r="H5" s="332" t="inlineStr">
        <is>
          <t>信源加分</t>
        </is>
      </c>
    </row>
    <row r="6" ht="15" customHeight="1" s="183">
      <c r="A6" s="332" t="inlineStr">
        <is>
          <t>银行</t>
        </is>
      </c>
      <c r="B6" s="332" t="inlineStr">
        <is>
          <t>012888</t>
        </is>
      </c>
      <c r="C6" s="332" t="n">
        <v>53</v>
      </c>
      <c r="D6" s="332" t="n">
        <v>0.53</v>
      </c>
      <c r="E6" s="332" t="n">
        <v>0.358</v>
      </c>
      <c r="F6" s="332" t="n">
        <v>5</v>
      </c>
      <c r="G6" s="332" t="inlineStr">
        <is>
          <t>👍良好</t>
        </is>
      </c>
      <c r="H6" s="332" t="inlineStr">
        <is>
          <t>信源保持</t>
        </is>
      </c>
    </row>
    <row r="7" ht="15" customHeight="1" s="183">
      <c r="A7" s="332" t="inlineStr">
        <is>
          <t>稀金</t>
        </is>
      </c>
      <c r="B7" s="332" t="inlineStr">
        <is>
          <t>008907</t>
        </is>
      </c>
      <c r="C7" s="332" t="n">
        <v>50</v>
      </c>
      <c r="D7" s="332" t="n">
        <v>0.5</v>
      </c>
      <c r="E7" s="332" t="n">
        <v>0.667</v>
      </c>
      <c r="F7" s="332" t="n">
        <v>3</v>
      </c>
      <c r="G7" s="332" t="inlineStr">
        <is>
          <t>⚠️样本不足</t>
        </is>
      </c>
      <c r="H7" s="332" t="inlineStr">
        <is>
          <t>需积累</t>
        </is>
      </c>
    </row>
    <row r="8" ht="15" customHeight="1" s="183">
      <c r="A8" s="332" t="inlineStr">
        <is>
          <t>有色</t>
        </is>
      </c>
      <c r="B8" s="332" t="inlineStr">
        <is>
          <t>008826</t>
        </is>
      </c>
      <c r="C8" s="332" t="n">
        <v>0</v>
      </c>
      <c r="D8" s="332" t="n">
        <v>-0.5</v>
      </c>
      <c r="E8" s="332" t="n">
        <v>0.667</v>
      </c>
      <c r="F8" s="332" t="n">
        <v>3</v>
      </c>
      <c r="G8" s="332" t="inlineStr">
        <is>
          <t>⚠️样本不足</t>
        </is>
      </c>
      <c r="H8" s="332" t="inlineStr">
        <is>
          <t>需积累</t>
        </is>
      </c>
    </row>
    <row r="9" ht="16.5" customHeight="1" s="183">
      <c r="A9" s="332" t="inlineStr">
        <is>
          <t>芯片</t>
        </is>
      </c>
      <c r="B9" s="332" t="inlineStr">
        <is>
          <t>020628</t>
        </is>
      </c>
      <c r="C9" s="332" t="n">
        <v>0</v>
      </c>
      <c r="D9" s="332" t="n">
        <v>-0.676</v>
      </c>
      <c r="E9" s="332" t="n">
        <v>0.022</v>
      </c>
      <c r="F9" s="332" t="n">
        <v>11</v>
      </c>
      <c r="G9" s="332" t="inlineStr">
        <is>
          <t>❌差</t>
        </is>
      </c>
      <c r="H9" s="332" t="inlineStr">
        <is>
          <t>信源减分/替换</t>
        </is>
      </c>
    </row>
    <row r="11" ht="15" customHeight="1" s="183">
      <c r="A11" s="332" t="inlineStr">
        <is>
          <t>方法说明：</t>
        </is>
      </c>
    </row>
    <row r="12" ht="16.5" customHeight="1" s="183">
      <c r="A12" s="332" t="inlineStr">
        <is>
          <t>1. Spearman秩相关：衡量P值累计趋势与价格累计趋势的单调一致性</t>
        </is>
      </c>
    </row>
    <row r="13" ht="16.5" customHeight="1" s="183">
      <c r="A13" s="332" t="inlineStr">
        <is>
          <t>2. 允许非线性、允许滞后、不要求同一天同向</t>
        </is>
      </c>
    </row>
    <row r="14" ht="16.5" customHeight="1" s="183">
      <c r="A14" s="332" t="inlineStr">
        <is>
          <t>3. 正值=同向拟合，负值=反向不拟合</t>
        </is>
      </c>
    </row>
    <row r="15" ht="16.5" customHeight="1" s="183">
      <c r="A15" s="332" t="inlineStr">
        <is>
          <t>4. p值&lt;0.05=统计显著</t>
        </is>
      </c>
    </row>
    <row r="16" ht="15" customHeight="1" s="183">
      <c r="A16" s="332" t="n"/>
    </row>
    <row r="18" ht="15" customHeight="1" s="183">
      <c r="A18" s="332" t="n"/>
    </row>
    <row r="19" ht="15" customHeight="1" s="183">
      <c r="A19" s="332" t="n"/>
    </row>
    <row r="20" ht="15" customHeight="1" s="183">
      <c r="A20" s="332" t="n"/>
    </row>
    <row r="21" ht="15" customHeight="1" s="183">
      <c r="A21" s="332" t="n"/>
    </row>
    <row r="22" ht="15" customHeight="1" s="183">
      <c r="A22" s="332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332" min="1" max="1"/>
    <col width="20" customWidth="1" style="332" min="2" max="2"/>
    <col width="22" customWidth="1" style="332" min="3" max="4"/>
    <col width="12" customWidth="1" style="332" min="5" max="5"/>
    <col width="10" customWidth="1" style="332" min="6" max="7"/>
    <col width="12" customWidth="1" style="332" min="8" max="8"/>
  </cols>
  <sheetData>
    <row r="1" ht="21" customHeight="1" s="183">
      <c r="A1" s="285" t="inlineStr">
        <is>
          <t>🔥 三源联动分析（2026-06-04）</t>
        </is>
      </c>
    </row>
    <row r="2" ht="18" customHeight="1" s="183">
      <c r="A2" s="237" t="inlineStr">
        <is>
          <t>知乎纳指安全 + 达利欧AI泡沫 + 李大霄窄牛宽熊 → 综合研判</t>
        </is>
      </c>
    </row>
    <row r="4" ht="15" customHeight="1" s="183">
      <c r="A4" s="237" t="inlineStr">
        <is>
          <t>一、三源核心观点对比</t>
        </is>
      </c>
    </row>
    <row r="5" ht="18" customHeight="1" s="183">
      <c r="A5" s="286" t="inlineStr">
        <is>
          <t>维度</t>
        </is>
      </c>
      <c r="B5" s="286" t="inlineStr">
        <is>
          <t>知乎纳指安全</t>
        </is>
      </c>
      <c r="C5" s="286" t="inlineStr">
        <is>
          <t>达利欧AI泡沫</t>
        </is>
      </c>
      <c r="D5" s="286" t="inlineStr">
        <is>
          <t>李大霄窄牛宽熊</t>
        </is>
      </c>
    </row>
    <row r="6" ht="32.25" customHeight="1" s="183">
      <c r="A6" s="336" t="inlineStr">
        <is>
          <t>核心结论</t>
        </is>
      </c>
      <c r="B6" s="336" t="inlineStr">
        <is>
          <t>纳指PE中值区间，安全</t>
        </is>
      </c>
      <c r="C6" s="336" t="inlineStr">
        <is>
          <t>AI泡沫65-75%概率年底破</t>
        </is>
      </c>
      <c r="D6" s="336" t="inlineStr">
        <is>
          <t>美股全市场已熊市，指数是假象</t>
        </is>
      </c>
    </row>
    <row r="7" ht="32.25" customHeight="1" s="183">
      <c r="A7" s="336" t="inlineStr">
        <is>
          <t>对AI态度</t>
        </is>
      </c>
      <c r="B7" s="336" t="inlineStr">
        <is>
          <t>七姐妹6家估值合理</t>
        </is>
      </c>
      <c r="C7" s="336" t="inlineStr">
        <is>
          <t>技术不会失败，但估值泡沫</t>
        </is>
      </c>
      <c r="D7" s="336" t="inlineStr">
        <is>
          <t>AI龙头虹吸全市场资金</t>
        </is>
      </c>
    </row>
    <row r="8" ht="16.5" customHeight="1" s="183">
      <c r="A8" s="336" t="inlineStr">
        <is>
          <t>历史对标</t>
        </is>
      </c>
      <c r="B8" s="336" t="inlineStr">
        <is>
          <t>5维度排查无暴跌信号</t>
        </is>
      </c>
      <c r="C8" s="336" t="inlineStr">
        <is>
          <t>对标dotcom泡沫模式</t>
        </is>
      </c>
      <c r="D8" s="336" t="inlineStr">
        <is>
          <t>对标2000科网+2008次贷</t>
        </is>
      </c>
    </row>
    <row r="9" ht="16.5" customHeight="1" s="183">
      <c r="A9" s="336" t="inlineStr">
        <is>
          <t>短期判断</t>
        </is>
      </c>
      <c r="B9" s="336" t="inlineStr">
        <is>
          <t>继续持有</t>
        </is>
      </c>
      <c r="C9" s="336" t="inlineStr">
        <is>
          <t>降低预期但不清仓</t>
        </is>
      </c>
      <c r="D9" s="336" t="inlineStr">
        <is>
          <t>窄牛末期随时可能断崖</t>
        </is>
      </c>
    </row>
    <row r="10" ht="16.5" customHeight="1" s="183">
      <c r="A10" s="336" t="inlineStr">
        <is>
          <t>可信度</t>
        </is>
      </c>
      <c r="B10" s="336" t="inlineStr">
        <is>
          <t>⭐⭐⭐ 中上</t>
        </is>
      </c>
      <c r="C10" s="336" t="inlineStr">
        <is>
          <t>⭐⭐⭐⭐⭐ 极高</t>
        </is>
      </c>
      <c r="D10" s="336" t="inlineStr">
        <is>
          <t>⭐⭐ 参考即可</t>
        </is>
      </c>
    </row>
    <row r="12" ht="15" customHeight="1" s="183">
      <c r="A12" s="237" t="inlineStr">
        <is>
          <t>二、三源互锁验证（关键）</t>
        </is>
      </c>
    </row>
    <row r="13" ht="48" customHeight="1" s="183">
      <c r="A13" s="336" t="inlineStr">
        <is>
          <t>达利欧×李大霄</t>
        </is>
      </c>
      <c r="B13" s="287" t="inlineStr">
        <is>
          <t>✅ 互相印证</t>
        </is>
      </c>
      <c r="C13" s="336" t="inlineStr">
        <is>
          <t>达利欧说AI泡沫→李大霄说窄牛宽熊=同一个现象的两个角度</t>
        </is>
      </c>
      <c r="D13" s="336" t="inlineStr">
        <is>
          <t>强信号</t>
        </is>
      </c>
    </row>
    <row r="14" ht="63.75" customHeight="1" s="183">
      <c r="A14" s="336" t="inlineStr">
        <is>
          <t>知乎×达利欧</t>
        </is>
      </c>
      <c r="B14" s="288" t="inlineStr">
        <is>
          <t>⚠️ 部分矛盾</t>
        </is>
      </c>
      <c r="C14" s="336" t="inlineStr">
        <is>
          <t>知乎说PE中值安全 vs 达利欧说65-75%概率回调→知乎看估值，达利欧看流动性</t>
        </is>
      </c>
      <c r="D14" s="336" t="inlineStr">
        <is>
          <t>中性</t>
        </is>
      </c>
    </row>
    <row r="15" ht="48" customHeight="1" s="183">
      <c r="A15" s="336" t="inlineStr">
        <is>
          <t>知乎×李大霄</t>
        </is>
      </c>
      <c r="B15" s="289" t="inlineStr">
        <is>
          <t>❌ 矛盾</t>
        </is>
      </c>
      <c r="C15" s="336" t="inlineStr">
        <is>
          <t>知乎说纳指安全 vs 李大霄说全市场已熊→知乎看指数，李大霄看全市场</t>
        </is>
      </c>
      <c r="D15" s="336" t="inlineStr">
        <is>
          <t>需分辨</t>
        </is>
      </c>
    </row>
    <row r="16" ht="48" customHeight="1" s="183">
      <c r="A16" s="336" t="inlineStr">
        <is>
          <t>三源共识</t>
        </is>
      </c>
      <c r="B16" s="336" t="inlineStr">
        <is>
          <t>🔴 核心共识</t>
        </is>
      </c>
      <c r="C16" s="336" t="inlineStr">
        <is>
          <t>三源都承认：AI龙头估值偏高、市场极度集中、中小盘已熊</t>
        </is>
      </c>
      <c r="D16" s="336" t="inlineStr">
        <is>
          <t>强信号</t>
        </is>
      </c>
    </row>
    <row r="19" ht="18" customHeight="1" s="183">
      <c r="A19" s="237" t="inlineStr">
        <is>
          <t>三、对持仓P值联动影响</t>
        </is>
      </c>
    </row>
    <row r="20" ht="18" customHeight="1" s="183">
      <c r="A20" s="286" t="inlineStr">
        <is>
          <t>持仓</t>
        </is>
      </c>
      <c r="B20" s="286" t="inlineStr">
        <is>
          <t>知乎影响</t>
        </is>
      </c>
      <c r="C20" s="286" t="inlineStr">
        <is>
          <t>达利欧影响</t>
        </is>
      </c>
      <c r="D20" s="286" t="inlineStr">
        <is>
          <t>李大霄影响</t>
        </is>
      </c>
      <c r="E20" s="286" t="inlineStr">
        <is>
          <t>净影响</t>
        </is>
      </c>
      <c r="F20" s="286" t="inlineStr">
        <is>
          <t>原P值</t>
        </is>
      </c>
      <c r="G20" s="286" t="inlineStr">
        <is>
          <t>新P值</t>
        </is>
      </c>
      <c r="H20" s="286" t="inlineStr">
        <is>
          <t>决策</t>
        </is>
      </c>
    </row>
    <row r="21" ht="16.5" customHeight="1" s="183">
      <c r="A21" s="336" t="inlineStr">
        <is>
          <t>恒科009854</t>
        </is>
      </c>
      <c r="B21" s="336" t="inlineStr">
        <is>
          <t>+1pp 纳指安全</t>
        </is>
      </c>
      <c r="C21" s="336" t="inlineStr">
        <is>
          <t>-1pp AI泡沫连带</t>
        </is>
      </c>
      <c r="D21" s="336" t="inlineStr">
        <is>
          <t>-2pp 窄牛宽熊</t>
        </is>
      </c>
      <c r="E21" s="336" t="inlineStr">
        <is>
          <t>-2pp</t>
        </is>
      </c>
      <c r="F21" s="336" t="inlineStr">
        <is>
          <t>29%</t>
        </is>
      </c>
      <c r="G21" s="336" t="inlineStr">
        <is>
          <t>27%</t>
        </is>
      </c>
      <c r="H21" s="336" t="inlineStr">
        <is>
          <t>❌不干</t>
        </is>
      </c>
    </row>
    <row r="22" ht="16.5" customHeight="1" s="183">
      <c r="A22" s="336" t="inlineStr">
        <is>
          <t>芯片020628</t>
        </is>
      </c>
      <c r="B22" s="336" t="inlineStr">
        <is>
          <t>0pp 中性</t>
        </is>
      </c>
      <c r="C22" s="336" t="inlineStr">
        <is>
          <t>-2pp AI泡沫直接</t>
        </is>
      </c>
      <c r="D22" s="336" t="inlineStr">
        <is>
          <t>-1pp 权重集中</t>
        </is>
      </c>
      <c r="E22" s="336" t="inlineStr">
        <is>
          <t>-3pp</t>
        </is>
      </c>
      <c r="F22" s="336" t="inlineStr">
        <is>
          <t>44%</t>
        </is>
      </c>
      <c r="G22" s="336" t="inlineStr">
        <is>
          <t>41%</t>
        </is>
      </c>
      <c r="H22" s="336" t="inlineStr">
        <is>
          <t>⚠️观望</t>
        </is>
      </c>
    </row>
    <row r="23" ht="16.5" customHeight="1" s="183">
      <c r="A23" s="336" t="inlineStr">
        <is>
          <t>电池018926</t>
        </is>
      </c>
      <c r="B23" s="336" t="inlineStr">
        <is>
          <t>0pp 无关联</t>
        </is>
      </c>
      <c r="C23" s="336" t="inlineStr">
        <is>
          <t>0pp 无直接关联</t>
        </is>
      </c>
      <c r="D23" s="336" t="inlineStr">
        <is>
          <t>0pp 无影响</t>
        </is>
      </c>
      <c r="E23" s="336" t="inlineStr">
        <is>
          <t>0pp</t>
        </is>
      </c>
      <c r="F23" s="336" t="inlineStr">
        <is>
          <t>65%</t>
        </is>
      </c>
      <c r="G23" s="336" t="inlineStr">
        <is>
          <t>65%</t>
        </is>
      </c>
      <c r="H23" s="336" t="inlineStr">
        <is>
          <t>✅持有</t>
        </is>
      </c>
    </row>
    <row r="24" ht="16.5" customHeight="1" s="183">
      <c r="A24" s="336" t="inlineStr">
        <is>
          <t>养殖014415</t>
        </is>
      </c>
      <c r="B24" s="336" t="inlineStr">
        <is>
          <t>0pp 无关联</t>
        </is>
      </c>
      <c r="C24" s="336" t="inlineStr">
        <is>
          <t>0pp 无直接关联</t>
        </is>
      </c>
      <c r="D24" s="336" t="inlineStr">
        <is>
          <t>0pp 无影响</t>
        </is>
      </c>
      <c r="E24" s="336" t="inlineStr">
        <is>
          <t>0pp</t>
        </is>
      </c>
      <c r="F24" s="336" t="inlineStr">
        <is>
          <t>70%</t>
        </is>
      </c>
      <c r="G24" s="336" t="inlineStr">
        <is>
          <t>70%</t>
        </is>
      </c>
      <c r="H24" s="336" t="inlineStr">
        <is>
          <t>✅持有</t>
        </is>
      </c>
    </row>
    <row r="25" ht="16.5" customHeight="1" s="183">
      <c r="A25" s="336" t="inlineStr">
        <is>
          <t>有色004433</t>
        </is>
      </c>
      <c r="B25" s="336" t="inlineStr">
        <is>
          <t>0pp 无关联</t>
        </is>
      </c>
      <c r="C25" s="336" t="inlineStr">
        <is>
          <t>0pp 无直接关联</t>
        </is>
      </c>
      <c r="D25" s="336" t="inlineStr">
        <is>
          <t>-1pp 美股熊传导</t>
        </is>
      </c>
      <c r="E25" s="336" t="inlineStr">
        <is>
          <t>-1pp</t>
        </is>
      </c>
      <c r="F25" s="336" t="inlineStr">
        <is>
          <t>39%</t>
        </is>
      </c>
      <c r="G25" s="336" t="inlineStr">
        <is>
          <t>38%</t>
        </is>
      </c>
      <c r="H25" s="336" t="inlineStr">
        <is>
          <t>⚠️观望</t>
        </is>
      </c>
    </row>
    <row r="26" ht="16.5" customHeight="1" s="183">
      <c r="A26" s="336" t="inlineStr">
        <is>
          <t>堆叠(长电/通富)</t>
        </is>
      </c>
      <c r="B26" s="336" t="inlineStr">
        <is>
          <t>0pp 国内产业</t>
        </is>
      </c>
      <c r="C26" s="336" t="inlineStr">
        <is>
          <t>0pp 技术不会失败</t>
        </is>
      </c>
      <c r="D26" s="336" t="inlineStr">
        <is>
          <t>0pp 国内确定性</t>
        </is>
      </c>
      <c r="E26" s="336" t="inlineStr">
        <is>
          <t>0pp</t>
        </is>
      </c>
      <c r="F26" s="336" t="inlineStr">
        <is>
          <t>75%</t>
        </is>
      </c>
      <c r="G26" s="336" t="inlineStr">
        <is>
          <t>75%</t>
        </is>
      </c>
      <c r="H26" s="336" t="inlineStr">
        <is>
          <t>🔴重点</t>
        </is>
      </c>
    </row>
    <row r="29" ht="18" customHeight="1" s="183">
      <c r="A29" s="239" t="inlineStr">
        <is>
          <t>四、🔥 核心结论（三源联动+你的策略）</t>
        </is>
      </c>
    </row>
    <row r="30" ht="48" customHeight="1" s="183">
      <c r="A30" s="336" t="inlineStr">
        <is>
          <t>1</t>
        </is>
      </c>
      <c r="B30" s="336" t="inlineStr">
        <is>
          <t>三源共识：AI龙头估值偏高，市场极度集中</t>
        </is>
      </c>
      <c r="C30" s="336" t="inlineStr">
        <is>
          <t>达利欧+李大霄互相印证，知乎看估值中值但忽略集中度风险</t>
        </is>
      </c>
      <c r="D30" s="289" t="inlineStr">
        <is>
          <t>🔴 高置信度</t>
        </is>
      </c>
    </row>
    <row r="31" ht="48" customHeight="1" s="183">
      <c r="A31" s="336" t="inlineStr">
        <is>
          <t>2</t>
        </is>
      </c>
      <c r="B31" s="336" t="inlineStr">
        <is>
          <t>你的策略完全正确：等中期选举大跌=现金入场时机</t>
        </is>
      </c>
      <c r="C31" s="336" t="inlineStr">
        <is>
          <t>达利欧说"技术不会失败"+你说"中期选举跌一波"=回调后大仓位进</t>
        </is>
      </c>
      <c r="D31" s="287" t="inlineStr">
        <is>
          <t>🟢 高置信度</t>
        </is>
      </c>
    </row>
    <row r="32" ht="48" customHeight="1" s="183">
      <c r="A32" s="336" t="inlineStr">
        <is>
          <t>3</t>
        </is>
      </c>
      <c r="B32" s="336" t="inlineStr">
        <is>
          <t>堆叠/先进封装不受美股泡沫影响</t>
        </is>
      </c>
      <c r="C32" s="336" t="inlineStr">
        <is>
          <t>国内确定性产业趋势，三源都未提及国内封测，长电/通富安全边际大</t>
        </is>
      </c>
      <c r="D32" s="287" t="inlineStr">
        <is>
          <t>🟢 高置信度</t>
        </is>
      </c>
    </row>
    <row r="33" ht="48" customHeight="1" s="183">
      <c r="A33" s="336" t="inlineStr">
        <is>
          <t>4</t>
        </is>
      </c>
      <c r="B33" s="336" t="inlineStr">
        <is>
          <t>恒科/芯片短期承压，但不影响长期逻辑</t>
        </is>
      </c>
      <c r="C33" s="336" t="inlineStr">
        <is>
          <t>窄牛宽熊是美股现象，港股科技受情绪传导，国内AI基建不受影响</t>
        </is>
      </c>
      <c r="D33" s="288" t="inlineStr">
        <is>
          <t>🟡 中置信度</t>
        </is>
      </c>
    </row>
    <row r="34" ht="48" customHeight="1" s="183">
      <c r="A34" s="336" t="inlineStr">
        <is>
          <t>5</t>
        </is>
      </c>
      <c r="B34" s="336" t="inlineStr">
        <is>
          <t>现金为王，等信号</t>
        </is>
      </c>
      <c r="C34" s="336" t="inlineStr">
        <is>
          <t>三源都指向短期风险&gt;机会，你的中期选举策略=等65-75%概率的回调</t>
        </is>
      </c>
      <c r="D34" s="287" t="inlineStr">
        <is>
          <t>🟢 高置信度</t>
        </is>
      </c>
    </row>
    <row r="37" ht="38.25" customHeight="1" s="183">
      <c r="A37" s="290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332" min="1" max="1"/>
    <col width="12" customWidth="1" style="332" min="2" max="8"/>
  </cols>
  <sheetData>
    <row r="1" ht="17.25" customHeight="1" s="183">
      <c r="A1" s="202" t="inlineStr">
        <is>
          <t>📊 基金数据联动分析</t>
        </is>
      </c>
    </row>
    <row r="2" ht="15" customHeight="1" s="183">
      <c r="A2" s="291" t="inlineStr">
        <is>
          <t>数据日期: 2026-06-04 | 数据来源: 新浪K线API</t>
        </is>
      </c>
    </row>
    <row r="4" ht="16.5" customHeight="1" s="183">
      <c r="A4" s="292" t="inlineStr">
        <is>
          <t>持仓名称</t>
        </is>
      </c>
      <c r="B4" s="292" t="inlineStr">
        <is>
          <t>基金代码</t>
        </is>
      </c>
      <c r="C4" s="292" t="inlineStr">
        <is>
          <t>最新价</t>
        </is>
      </c>
      <c r="D4" s="292" t="inlineStr">
        <is>
          <t>今日涨跌%</t>
        </is>
      </c>
      <c r="E4" s="292" t="inlineStr">
        <is>
          <t>5日涨跌%</t>
        </is>
      </c>
      <c r="F4" s="292" t="inlineStr">
        <is>
          <t>20日涨跌%</t>
        </is>
      </c>
      <c r="G4" s="292" t="inlineStr">
        <is>
          <t>年化波动率%</t>
        </is>
      </c>
      <c r="H4" s="292" t="inlineStr">
        <is>
          <t>P值</t>
        </is>
      </c>
    </row>
    <row r="5" ht="16.5" customHeight="1" s="183">
      <c r="A5" s="277" t="inlineStr">
        <is>
          <t>电池ETF</t>
        </is>
      </c>
      <c r="B5" s="277" t="inlineStr">
        <is>
          <t>159147</t>
        </is>
      </c>
      <c r="C5" s="277" t="n">
        <v>1.043</v>
      </c>
      <c r="D5" s="293" t="n">
        <v>-2.07</v>
      </c>
      <c r="E5" s="293" t="n">
        <v>-3.96</v>
      </c>
      <c r="F5" s="293" t="n">
        <v>-8.109999999999999</v>
      </c>
      <c r="G5" s="277" t="n">
        <v>32.7</v>
      </c>
      <c r="H5" s="277" t="inlineStr">
        <is>
          <t>N/A</t>
        </is>
      </c>
    </row>
    <row r="6" ht="16.5" customHeight="1" s="183">
      <c r="A6" s="277" t="inlineStr">
        <is>
          <t>畜牧养殖ETF</t>
        </is>
      </c>
      <c r="B6" s="277" t="inlineStr">
        <is>
          <t>512450</t>
        </is>
      </c>
      <c r="C6" s="277" t="n">
        <v>0.846</v>
      </c>
      <c r="D6" s="293" t="n">
        <v>-2.65</v>
      </c>
      <c r="E6" s="293" t="n">
        <v>-4.62</v>
      </c>
      <c r="F6" s="293" t="n">
        <v>-14.29</v>
      </c>
      <c r="G6" s="277" t="n">
        <v>21.5</v>
      </c>
      <c r="H6" s="277" t="inlineStr">
        <is>
          <t>N/A</t>
        </is>
      </c>
    </row>
    <row r="7" ht="16.5" customHeight="1" s="183">
      <c r="A7" s="277" t="inlineStr">
        <is>
          <t>芯片ETF</t>
        </is>
      </c>
      <c r="B7" s="277" t="inlineStr">
        <is>
          <t>159995</t>
        </is>
      </c>
      <c r="C7" s="277" t="n">
        <v>2.53</v>
      </c>
      <c r="D7" s="294" t="n">
        <v>1.89</v>
      </c>
      <c r="E7" s="294" t="n">
        <v>1.57</v>
      </c>
      <c r="F7" s="294" t="n">
        <v>16.43</v>
      </c>
      <c r="G7" s="277" t="n">
        <v>46</v>
      </c>
      <c r="H7" s="277" t="inlineStr">
        <is>
          <t>N/A</t>
        </is>
      </c>
    </row>
    <row r="8" ht="16.5" customHeight="1" s="183">
      <c r="A8" s="277" t="inlineStr">
        <is>
          <t>恒生科技ETF</t>
        </is>
      </c>
      <c r="B8" s="277" t="inlineStr">
        <is>
          <t>513180</t>
        </is>
      </c>
      <c r="C8" s="277" t="n">
        <v>0.631</v>
      </c>
      <c r="D8" s="293" t="n">
        <v>-1.56</v>
      </c>
      <c r="E8" s="294" t="n">
        <v>1.77</v>
      </c>
      <c r="F8" s="293" t="n">
        <v>-3.37</v>
      </c>
      <c r="G8" s="277" t="n">
        <v>27.5</v>
      </c>
      <c r="H8" s="277" t="inlineStr">
        <is>
          <t>N/A</t>
        </is>
      </c>
    </row>
    <row r="9" ht="16.5" customHeight="1" s="183">
      <c r="A9" s="277" t="inlineStr">
        <is>
          <t>黄金ETF</t>
        </is>
      </c>
      <c r="B9" s="277" t="inlineStr">
        <is>
          <t>518880</t>
        </is>
      </c>
      <c r="C9" s="277" t="n">
        <v>9.289999999999999</v>
      </c>
      <c r="D9" s="294" t="n">
        <v>0.1</v>
      </c>
      <c r="E9" s="293" t="n">
        <v>-1.14</v>
      </c>
      <c r="F9" s="293" t="n">
        <v>-5.97</v>
      </c>
      <c r="G9" s="277" t="n">
        <v>31.3</v>
      </c>
      <c r="H9" s="277" t="inlineStr">
        <is>
          <t>N/A</t>
        </is>
      </c>
    </row>
    <row r="10" ht="16.5" customHeight="1" s="183">
      <c r="A10" s="277" t="inlineStr">
        <is>
          <t>银行ETF</t>
        </is>
      </c>
      <c r="B10" s="277" t="inlineStr">
        <is>
          <t>512800</t>
        </is>
      </c>
      <c r="C10" s="277" t="n">
        <v>0.774</v>
      </c>
      <c r="D10" s="293" t="n">
        <v>-1.15</v>
      </c>
      <c r="E10" s="293" t="n">
        <v>-0.26</v>
      </c>
      <c r="F10" s="293" t="n">
        <v>-1.4</v>
      </c>
      <c r="G10" s="277" t="n">
        <v>13.3</v>
      </c>
      <c r="H10" s="277" t="inlineStr">
        <is>
          <t>N/A</t>
        </is>
      </c>
    </row>
    <row r="11" ht="16.5" customHeight="1" s="183">
      <c r="A11" s="277" t="inlineStr">
        <is>
          <t>有色金属ETF</t>
        </is>
      </c>
      <c r="B11" s="277" t="inlineStr">
        <is>
          <t>512400</t>
        </is>
      </c>
      <c r="C11" s="277" t="n">
        <v>1.97</v>
      </c>
      <c r="D11" s="293" t="n">
        <v>-3.05</v>
      </c>
      <c r="E11" s="294" t="n">
        <v>0.25</v>
      </c>
      <c r="F11" s="293" t="n">
        <v>-10.7</v>
      </c>
      <c r="G11" s="277" t="n">
        <v>39.2</v>
      </c>
      <c r="H11" s="277" t="inlineStr">
        <is>
          <t>N/A</t>
        </is>
      </c>
    </row>
    <row r="13" ht="18" customHeight="1" s="183">
      <c r="A13" s="237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332" min="1" max="1"/>
    <col width="10" customWidth="1" style="332" min="2" max="2"/>
    <col width="12" customWidth="1" style="332" min="3" max="3"/>
    <col width="14" customWidth="1" style="332" min="4" max="4"/>
    <col width="12" customWidth="1" style="332" min="5" max="5"/>
    <col width="8" customWidth="1" style="332" min="6" max="6"/>
    <col width="10" customWidth="1" style="332" min="7" max="7"/>
    <col width="45" customWidth="1" style="332" min="8" max="8"/>
  </cols>
  <sheetData>
    <row r="1" ht="21.6" customHeight="1" s="183">
      <c r="A1" s="285" t="inlineStr">
        <is>
          <t>📊 持仓盈亏联动分析 (数据日期: 2026-06-05)</t>
        </is>
      </c>
    </row>
    <row r="3" ht="17.15" customHeight="1" s="183">
      <c r="A3" s="295" t="inlineStr">
        <is>
          <t>持仓</t>
        </is>
      </c>
      <c r="B3" s="295" t="inlineStr">
        <is>
          <t>代码</t>
        </is>
      </c>
      <c r="C3" s="295" t="inlineStr">
        <is>
          <t>市值(元)</t>
        </is>
      </c>
      <c r="D3" s="295" t="inlineStr">
        <is>
          <t>持有盈亏(元)</t>
        </is>
      </c>
      <c r="E3" s="295" t="inlineStr">
        <is>
          <t>持有收益率</t>
        </is>
      </c>
      <c r="F3" s="295" t="inlineStr">
        <is>
          <t>P值</t>
        </is>
      </c>
      <c r="G3" s="295" t="inlineStr">
        <is>
          <t>拟合分</t>
        </is>
      </c>
      <c r="H3" s="295" t="inlineStr">
        <is>
          <t>联动信号</t>
        </is>
      </c>
    </row>
    <row r="4" ht="17.15" customHeight="1" s="183">
      <c r="A4" s="228" t="inlineStr">
        <is>
          <t>芯片</t>
        </is>
      </c>
      <c r="B4" s="228" t="inlineStr">
        <is>
          <t>020628</t>
        </is>
      </c>
      <c r="C4" s="228" t="n">
        <v>3332.04</v>
      </c>
      <c r="D4" s="296" t="n">
        <v>125.91</v>
      </c>
      <c r="E4" s="228" t="inlineStr">
        <is>
          <t>+3.93%</t>
        </is>
      </c>
      <c r="F4" s="228" t="inlineStr">
        <is>
          <t>N/A</t>
        </is>
      </c>
      <c r="G4" s="228" t="inlineStr">
        <is>
          <t>N/A</t>
        </is>
      </c>
      <c r="H4" s="234" t="inlineStr">
        <is>
          <t>📉今日亏161元(-4.6%)</t>
        </is>
      </c>
    </row>
    <row r="5" ht="17.15" customHeight="1" s="183">
      <c r="A5" s="228" t="inlineStr">
        <is>
          <t>电池</t>
        </is>
      </c>
      <c r="B5" s="228" t="inlineStr">
        <is>
          <t>018926</t>
        </is>
      </c>
      <c r="C5" s="228" t="n">
        <v>7220.04</v>
      </c>
      <c r="D5" s="296" t="n">
        <v>409.53</v>
      </c>
      <c r="E5" s="228" t="inlineStr">
        <is>
          <t>+6.01%</t>
        </is>
      </c>
      <c r="F5" s="228" t="inlineStr">
        <is>
          <t>N/A</t>
        </is>
      </c>
      <c r="G5" s="228" t="inlineStr">
        <is>
          <t>N/A</t>
        </is>
      </c>
      <c r="H5" s="234" t="inlineStr">
        <is>
          <t>📉今日亏134元(-1.8%)</t>
        </is>
      </c>
    </row>
    <row r="6" ht="17.15" customHeight="1" s="183">
      <c r="A6" s="228" t="inlineStr">
        <is>
          <t>恒科</t>
        </is>
      </c>
      <c r="B6" s="228" t="inlineStr">
        <is>
          <t>012349</t>
        </is>
      </c>
      <c r="C6" s="228" t="n">
        <v>4534.93</v>
      </c>
      <c r="D6" s="259" t="n">
        <v>-287.06</v>
      </c>
      <c r="E6" s="228" t="inlineStr">
        <is>
          <t>-5.95%</t>
        </is>
      </c>
      <c r="F6" s="228" t="inlineStr">
        <is>
          <t>N/A</t>
        </is>
      </c>
      <c r="G6" s="228" t="inlineStr">
        <is>
          <t>N/A</t>
        </is>
      </c>
      <c r="H6" s="234" t="inlineStr">
        <is>
          <t>📉今日亏82元(-1.8%)</t>
        </is>
      </c>
    </row>
    <row r="7" ht="17.15" customHeight="1" s="183">
      <c r="A7" s="228" t="inlineStr">
        <is>
          <t>养殖</t>
        </is>
      </c>
      <c r="B7" s="228" t="inlineStr">
        <is>
          <t>014415</t>
        </is>
      </c>
      <c r="C7" s="228" t="n">
        <v>3878.08</v>
      </c>
      <c r="D7" s="259" t="n">
        <v>-553.58</v>
      </c>
      <c r="E7" s="228" t="inlineStr">
        <is>
          <t>-12.49%</t>
        </is>
      </c>
      <c r="F7" s="228" t="inlineStr">
        <is>
          <t>N/A</t>
        </is>
      </c>
      <c r="G7" s="228" t="inlineStr">
        <is>
          <t>N/A</t>
        </is>
      </c>
      <c r="H7" s="234" t="inlineStr">
        <is>
          <t>无显著信号</t>
        </is>
      </c>
    </row>
    <row r="8" ht="17.15" customHeight="1" s="183">
      <c r="A8" s="228" t="inlineStr">
        <is>
          <t>有色</t>
        </is>
      </c>
      <c r="B8" s="228" t="inlineStr">
        <is>
          <t>004433</t>
        </is>
      </c>
      <c r="C8" s="228" t="n">
        <v>4780.52</v>
      </c>
      <c r="D8" s="259" t="n">
        <v>-19.48</v>
      </c>
      <c r="E8" s="228" t="inlineStr">
        <is>
          <t>-0.41%</t>
        </is>
      </c>
      <c r="F8" s="228" t="inlineStr">
        <is>
          <t>N/A</t>
        </is>
      </c>
      <c r="G8" s="228" t="inlineStr">
        <is>
          <t>N/A</t>
        </is>
      </c>
      <c r="H8" s="234" t="inlineStr">
        <is>
          <t>📉今日亏99元(-2.0%)</t>
        </is>
      </c>
    </row>
    <row r="9" ht="17.15" customHeight="1" s="183">
      <c r="A9" s="228" t="inlineStr">
        <is>
          <t>稀金</t>
        </is>
      </c>
      <c r="B9" s="228" t="inlineStr">
        <is>
          <t>014111</t>
        </is>
      </c>
      <c r="C9" s="228" t="n">
        <v>5871.55</v>
      </c>
      <c r="D9" s="296" t="n">
        <v>49.26</v>
      </c>
      <c r="E9" s="228" t="inlineStr">
        <is>
          <t>+0.85%</t>
        </is>
      </c>
      <c r="F9" s="228" t="inlineStr">
        <is>
          <t>N/A</t>
        </is>
      </c>
      <c r="G9" s="228" t="inlineStr">
        <is>
          <t>N/A</t>
        </is>
      </c>
      <c r="H9" s="234" t="inlineStr">
        <is>
          <t>📉今日亏70元(-1.2%)</t>
        </is>
      </c>
    </row>
    <row r="10" ht="17.15" customHeight="1" s="183">
      <c r="A10" s="228" t="inlineStr">
        <is>
          <t>银行</t>
        </is>
      </c>
      <c r="B10" s="228" t="inlineStr">
        <is>
          <t>001595</t>
        </is>
      </c>
      <c r="C10" s="228" t="n">
        <v>0</v>
      </c>
      <c r="D10" s="228" t="n">
        <v>0</v>
      </c>
      <c r="E10" s="228" t="inlineStr">
        <is>
          <t>+0.00%</t>
        </is>
      </c>
      <c r="F10" s="228" t="inlineStr">
        <is>
          <t>N/A</t>
        </is>
      </c>
      <c r="G10" s="228" t="inlineStr">
        <is>
          <t>N/A</t>
        </is>
      </c>
      <c r="H10" s="234" t="inlineStr">
        <is>
          <t>无显著信号</t>
        </is>
      </c>
    </row>
    <row r="11" ht="17.15" customHeight="1" s="183">
      <c r="A11" s="228" t="inlineStr">
        <is>
          <t>AI</t>
        </is>
      </c>
      <c r="B11" s="228" t="inlineStr">
        <is>
          <t>027048</t>
        </is>
      </c>
      <c r="C11" s="228" t="n">
        <v>98.75</v>
      </c>
      <c r="D11" s="259" t="n">
        <v>-2.25</v>
      </c>
      <c r="E11" s="228" t="inlineStr">
        <is>
          <t>-2.23%</t>
        </is>
      </c>
      <c r="F11" s="228" t="inlineStr">
        <is>
          <t>N/A</t>
        </is>
      </c>
      <c r="G11" s="228" t="inlineStr">
        <is>
          <t>N/A</t>
        </is>
      </c>
      <c r="H11" s="234" t="inlineStr">
        <is>
          <t>无显著信号</t>
        </is>
      </c>
    </row>
    <row r="12" ht="17.15" customHeight="1" s="183">
      <c r="A12" s="297" t="inlineStr">
        <is>
          <t>汇总</t>
        </is>
      </c>
      <c r="C12" s="297" t="n">
        <v>29715.91</v>
      </c>
      <c r="D12" s="297" t="n">
        <v>-277.67</v>
      </c>
      <c r="H12" s="228" t="inlineStr">
        <is>
          <t>追踪持仓合计 8 只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85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5" customWidth="1" style="332" min="1" max="9"/>
  </cols>
  <sheetData>
    <row r="1" ht="21.6" customHeight="1" s="183">
      <c r="A1" s="202" t="inlineStr">
        <is>
          <t>🔀 跨品种事件传导与P值校准分析 (2026-06-05)</t>
        </is>
      </c>
    </row>
    <row r="3" ht="15" customHeight="1" s="183">
      <c r="A3" s="237" t="inlineStr">
        <is>
          <t>一、持仓全景</t>
        </is>
      </c>
    </row>
    <row r="4" ht="17.15" customHeight="1" s="183">
      <c r="A4" s="298" t="inlineStr">
        <is>
          <t>持仓</t>
        </is>
      </c>
      <c r="B4" s="298" t="inlineStr">
        <is>
          <t>P值</t>
        </is>
      </c>
      <c r="C4" s="298" t="inlineStr">
        <is>
          <t>事件PP</t>
        </is>
      </c>
      <c r="D4" s="298" t="inlineStr">
        <is>
          <t>拟合分</t>
        </is>
      </c>
      <c r="E4" s="298" t="inlineStr">
        <is>
          <t>今日涨跌%</t>
        </is>
      </c>
      <c r="F4" s="298" t="inlineStr">
        <is>
          <t>20日涨跌%</t>
        </is>
      </c>
      <c r="G4" s="298" t="inlineStr">
        <is>
          <t>持有收益率</t>
        </is>
      </c>
      <c r="H4" s="298" t="inlineStr">
        <is>
          <t>诊断</t>
        </is>
      </c>
    </row>
    <row r="5" ht="17.15" customHeight="1" s="183">
      <c r="A5" s="228" t="inlineStr">
        <is>
          <t>芯片</t>
        </is>
      </c>
      <c r="B5" s="228" t="inlineStr">
        <is>
          <t>41%</t>
        </is>
      </c>
      <c r="C5" s="228" t="inlineStr">
        <is>
          <t>-4pp</t>
        </is>
      </c>
      <c r="D5" s="228" t="inlineStr">
        <is>
          <t>0分</t>
        </is>
      </c>
      <c r="E5" s="228" t="inlineStr">
        <is>
          <t>+1.9%</t>
        </is>
      </c>
      <c r="F5" s="228" t="inlineStr">
        <is>
          <t>+16.4%</t>
        </is>
      </c>
      <c r="G5" s="228" t="inlineStr">
        <is>
          <t>+3.9%</t>
        </is>
      </c>
      <c r="H5" s="228" t="inlineStr">
        <is>
          <t>漏正向; 拟合失效</t>
        </is>
      </c>
    </row>
    <row r="6" ht="17.15" customHeight="1" s="183">
      <c r="A6" s="228" t="inlineStr">
        <is>
          <t>电池</t>
        </is>
      </c>
      <c r="B6" s="228" t="inlineStr">
        <is>
          <t>65%</t>
        </is>
      </c>
      <c r="C6" s="228" t="inlineStr">
        <is>
          <t>+23pp</t>
        </is>
      </c>
      <c r="D6" s="228" t="inlineStr">
        <is>
          <t>97分</t>
        </is>
      </c>
      <c r="E6" s="228" t="inlineStr">
        <is>
          <t>-2.1%</t>
        </is>
      </c>
      <c r="F6" s="228" t="inlineStr">
        <is>
          <t>-8.1%</t>
        </is>
      </c>
      <c r="G6" s="228" t="inlineStr">
        <is>
          <t>+6.0%</t>
        </is>
      </c>
      <c r="H6" s="228" t="inlineStr">
        <is>
          <t>方向一致</t>
        </is>
      </c>
    </row>
    <row r="7" ht="17.15" customHeight="1" s="183">
      <c r="A7" s="228" t="inlineStr">
        <is>
          <t>恒科</t>
        </is>
      </c>
      <c r="B7" s="228" t="inlineStr">
        <is>
          <t>27%</t>
        </is>
      </c>
      <c r="C7" s="228" t="inlineStr">
        <is>
          <t>-16pp</t>
        </is>
      </c>
      <c r="D7" s="228" t="inlineStr">
        <is>
          <t>75分</t>
        </is>
      </c>
      <c r="E7" s="228" t="inlineStr">
        <is>
          <t>-1.6%</t>
        </is>
      </c>
      <c r="F7" s="228" t="inlineStr">
        <is>
          <t>-3.4%</t>
        </is>
      </c>
      <c r="G7" s="228" t="inlineStr">
        <is>
          <t>-6.0%</t>
        </is>
      </c>
      <c r="H7" s="228" t="inlineStr">
        <is>
          <t>方向一致</t>
        </is>
      </c>
    </row>
    <row r="8" ht="17.15" customHeight="1" s="183">
      <c r="A8" s="228" t="inlineStr">
        <is>
          <t>养殖</t>
        </is>
      </c>
      <c r="B8" s="228" t="inlineStr">
        <is>
          <t>70%</t>
        </is>
      </c>
      <c r="C8" s="228" t="inlineStr">
        <is>
          <t>+15pp</t>
        </is>
      </c>
      <c r="D8" s="228" t="inlineStr">
        <is>
          <t>95分</t>
        </is>
      </c>
      <c r="E8" s="228" t="inlineStr">
        <is>
          <t>-2.6%</t>
        </is>
      </c>
      <c r="F8" s="228" t="inlineStr">
        <is>
          <t>-14.3%</t>
        </is>
      </c>
      <c r="G8" s="228" t="inlineStr">
        <is>
          <t>-12.5%</t>
        </is>
      </c>
      <c r="H8" s="228" t="inlineStr">
        <is>
          <t>虚P偏高</t>
        </is>
      </c>
    </row>
    <row r="9" ht="17.15" customHeight="1" s="183">
      <c r="A9" s="228" t="inlineStr">
        <is>
          <t>有色</t>
        </is>
      </c>
      <c r="B9" s="228" t="inlineStr">
        <is>
          <t>39%</t>
        </is>
      </c>
      <c r="C9" s="228" t="inlineStr">
        <is>
          <t>-11pp</t>
        </is>
      </c>
      <c r="D9" s="228" t="inlineStr">
        <is>
          <t>0分</t>
        </is>
      </c>
      <c r="E9" s="228" t="inlineStr">
        <is>
          <t>-3.0%</t>
        </is>
      </c>
      <c r="F9" s="228" t="inlineStr">
        <is>
          <t>-10.7%</t>
        </is>
      </c>
      <c r="G9" s="228" t="inlineStr">
        <is>
          <t>-0.4%</t>
        </is>
      </c>
      <c r="H9" s="228" t="inlineStr">
        <is>
          <t>拟合失效</t>
        </is>
      </c>
    </row>
    <row r="10" ht="17.15" customHeight="1" s="183">
      <c r="A10" s="228" t="inlineStr">
        <is>
          <t>稀金</t>
        </is>
      </c>
      <c r="B10" s="228" t="inlineStr">
        <is>
          <t>40%</t>
        </is>
      </c>
      <c r="C10" s="228" t="inlineStr">
        <is>
          <t>-10pp</t>
        </is>
      </c>
      <c r="D10" s="228" t="inlineStr">
        <is>
          <t>0分</t>
        </is>
      </c>
      <c r="E10" s="228" t="inlineStr">
        <is>
          <t>+0.0%</t>
        </is>
      </c>
      <c r="F10" s="228" t="inlineStr">
        <is>
          <t>+0.0%</t>
        </is>
      </c>
      <c r="G10" s="228" t="inlineStr">
        <is>
          <t>+0.8%</t>
        </is>
      </c>
      <c r="H10" s="228" t="inlineStr">
        <is>
          <t>拟合失效</t>
        </is>
      </c>
    </row>
    <row r="11" ht="17.15" customHeight="1" s="183">
      <c r="A11" s="228" t="inlineStr">
        <is>
          <t>银行</t>
        </is>
      </c>
      <c r="B11" s="228" t="inlineStr">
        <is>
          <t>47%</t>
        </is>
      </c>
      <c r="C11" s="228" t="inlineStr">
        <is>
          <t>-3pp</t>
        </is>
      </c>
      <c r="D11" s="228" t="inlineStr">
        <is>
          <t>53分</t>
        </is>
      </c>
      <c r="E11" s="228" t="inlineStr">
        <is>
          <t>-1.1%</t>
        </is>
      </c>
      <c r="F11" s="228" t="inlineStr">
        <is>
          <t>-1.4%</t>
        </is>
      </c>
      <c r="G11" s="228" t="inlineStr">
        <is>
          <t>+0.0%</t>
        </is>
      </c>
      <c r="H11" s="228" t="inlineStr">
        <is>
          <t>方向一致</t>
        </is>
      </c>
    </row>
    <row r="12" ht="17.15" customHeight="1" s="183">
      <c r="A12" s="228" t="inlineStr">
        <is>
          <t>黄金</t>
        </is>
      </c>
      <c r="B12" s="228" t="inlineStr">
        <is>
          <t>0%</t>
        </is>
      </c>
      <c r="C12" s="228" t="inlineStr">
        <is>
          <t>+0pp</t>
        </is>
      </c>
      <c r="D12" s="228" t="inlineStr">
        <is>
          <t>0分</t>
        </is>
      </c>
      <c r="E12" s="228" t="inlineStr">
        <is>
          <t>+0.1%</t>
        </is>
      </c>
      <c r="F12" s="228" t="inlineStr">
        <is>
          <t>-6.0%</t>
        </is>
      </c>
      <c r="G12" s="228" t="inlineStr">
        <is>
          <t>+0.0%</t>
        </is>
      </c>
      <c r="H12" s="228" t="inlineStr">
        <is>
          <t>拟合失效</t>
        </is>
      </c>
    </row>
    <row r="14" ht="15" customHeight="1" s="183">
      <c r="A14" s="237" t="inlineStr">
        <is>
          <t>二、事件传导矩阵</t>
        </is>
      </c>
    </row>
    <row r="15" ht="17.15" customHeight="1" s="183">
      <c r="A15" s="298" t="inlineStr">
        <is>
          <t>源头事件</t>
        </is>
      </c>
      <c r="B15" s="298" t="inlineStr">
        <is>
          <t>品种</t>
        </is>
      </c>
      <c r="C15" s="298" t="inlineStr">
        <is>
          <t>传导PP</t>
        </is>
      </c>
      <c r="D15" s="298" t="inlineStr">
        <is>
          <t>方向</t>
        </is>
      </c>
    </row>
    <row r="16" ht="17.15" customHeight="1" s="183">
      <c r="A16" s="228" t="inlineStr">
        <is>
          <t>AI/科技</t>
        </is>
      </c>
      <c r="B16" s="228" t="inlineStr">
        <is>
          <t>恒科</t>
        </is>
      </c>
      <c r="C16" s="228" t="inlineStr">
        <is>
          <t>-5pp</t>
        </is>
      </c>
      <c r="D16" s="228" t="inlineStr">
        <is>
          <t>⬇利空</t>
        </is>
      </c>
    </row>
    <row r="17" ht="15" customHeight="1" s="183">
      <c r="A17" s="228" t="n"/>
      <c r="B17" s="228" t="inlineStr">
        <is>
          <t>有色</t>
        </is>
      </c>
      <c r="C17" s="228" t="inlineStr">
        <is>
          <t>+2pp</t>
        </is>
      </c>
      <c r="D17" s="228" t="inlineStr">
        <is>
          <t>⬆利好</t>
        </is>
      </c>
    </row>
    <row r="18" ht="15" customHeight="1" s="183">
      <c r="A18" s="228" t="n"/>
      <c r="B18" s="228" t="inlineStr">
        <is>
          <t>芯片</t>
        </is>
      </c>
      <c r="C18" s="228" t="inlineStr">
        <is>
          <t>+5pp</t>
        </is>
      </c>
      <c r="D18" s="228" t="inlineStr">
        <is>
          <t>⬆利好</t>
        </is>
      </c>
    </row>
    <row r="19" ht="17.15" customHeight="1" s="183">
      <c r="A19" s="228" t="inlineStr">
        <is>
          <t>关税/贸易</t>
        </is>
      </c>
      <c r="B19" s="228" t="inlineStr">
        <is>
          <t>有色</t>
        </is>
      </c>
      <c r="C19" s="228" t="inlineStr">
        <is>
          <t>-5pp</t>
        </is>
      </c>
      <c r="D19" s="228" t="inlineStr">
        <is>
          <t>⬇利空</t>
        </is>
      </c>
    </row>
    <row r="20" ht="15" customHeight="1" s="183">
      <c r="A20" s="228" t="n"/>
      <c r="B20" s="228" t="inlineStr">
        <is>
          <t>稀金</t>
        </is>
      </c>
      <c r="C20" s="228" t="inlineStr">
        <is>
          <t>-3pp</t>
        </is>
      </c>
      <c r="D20" s="228" t="inlineStr">
        <is>
          <t>⬇利空</t>
        </is>
      </c>
    </row>
    <row r="21" ht="15" customHeight="1" s="183">
      <c r="A21" s="228" t="inlineStr">
        <is>
          <t>其他</t>
        </is>
      </c>
      <c r="B21" s="228" t="inlineStr">
        <is>
          <t>有色</t>
        </is>
      </c>
      <c r="C21" s="228" t="inlineStr">
        <is>
          <t>-8pp</t>
        </is>
      </c>
      <c r="D21" s="228" t="inlineStr">
        <is>
          <t>⬇利空</t>
        </is>
      </c>
    </row>
    <row r="22" ht="15" customHeight="1" s="183">
      <c r="A22" s="228" t="n"/>
      <c r="B22" s="228" t="inlineStr">
        <is>
          <t>稀金</t>
        </is>
      </c>
      <c r="C22" s="228" t="inlineStr">
        <is>
          <t>-5pp</t>
        </is>
      </c>
      <c r="D22" s="228" t="inlineStr">
        <is>
          <t>⬇利空</t>
        </is>
      </c>
    </row>
    <row r="23" ht="15" customHeight="1" s="183">
      <c r="A23" s="228" t="n"/>
      <c r="B23" s="228" t="inlineStr">
        <is>
          <t>恒科</t>
        </is>
      </c>
      <c r="C23" s="228" t="inlineStr">
        <is>
          <t>-4pp</t>
        </is>
      </c>
      <c r="D23" s="228" t="inlineStr">
        <is>
          <t>⬇利空</t>
        </is>
      </c>
    </row>
    <row r="24" ht="15" customHeight="1" s="183">
      <c r="A24" s="228" t="n"/>
      <c r="B24" s="228" t="inlineStr">
        <is>
          <t>芯片</t>
        </is>
      </c>
      <c r="C24" s="228" t="inlineStr">
        <is>
          <t>-2pp</t>
        </is>
      </c>
      <c r="D24" s="228" t="inlineStr">
        <is>
          <t>⬇利空</t>
        </is>
      </c>
    </row>
    <row r="25" ht="15" customHeight="1" s="183">
      <c r="A25" s="228" t="n"/>
      <c r="B25" s="228" t="inlineStr">
        <is>
          <t>电池</t>
        </is>
      </c>
      <c r="C25" s="228" t="inlineStr">
        <is>
          <t>+16pp</t>
        </is>
      </c>
      <c r="D25" s="228" t="inlineStr">
        <is>
          <t>⬆利好</t>
        </is>
      </c>
    </row>
    <row r="26" ht="15" customHeight="1" s="183">
      <c r="A26" s="228" t="inlineStr">
        <is>
          <t>利率上行</t>
        </is>
      </c>
      <c r="B26" s="228" t="inlineStr">
        <is>
          <t>芯片</t>
        </is>
      </c>
      <c r="C26" s="228" t="inlineStr">
        <is>
          <t>-8pp</t>
        </is>
      </c>
      <c r="D26" s="228" t="inlineStr">
        <is>
          <t>⬇利空</t>
        </is>
      </c>
    </row>
    <row r="27" ht="15" customHeight="1" s="183">
      <c r="A27" s="228" t="n"/>
      <c r="B27" s="228" t="inlineStr">
        <is>
          <t>恒科</t>
        </is>
      </c>
      <c r="C27" s="228" t="inlineStr">
        <is>
          <t>-7pp</t>
        </is>
      </c>
      <c r="D27" s="228" t="inlineStr">
        <is>
          <t>⬇利空</t>
        </is>
      </c>
    </row>
    <row r="28" ht="15" customHeight="1" s="183">
      <c r="A28" s="228" t="n"/>
      <c r="B28" s="228" t="inlineStr">
        <is>
          <t>稀金</t>
        </is>
      </c>
      <c r="C28" s="228" t="inlineStr">
        <is>
          <t>-3pp</t>
        </is>
      </c>
      <c r="D28" s="228" t="inlineStr">
        <is>
          <t>⬇利空</t>
        </is>
      </c>
    </row>
    <row r="29" ht="15" customHeight="1" s="183">
      <c r="A29" s="228" t="n"/>
      <c r="B29" s="228" t="inlineStr">
        <is>
          <t>银行</t>
        </is>
      </c>
      <c r="C29" s="228" t="inlineStr">
        <is>
          <t>-1pp</t>
        </is>
      </c>
      <c r="D29" s="228" t="inlineStr">
        <is>
          <t>⬇利空</t>
        </is>
      </c>
    </row>
    <row r="30" ht="15" customHeight="1" s="183">
      <c r="A30" s="228" t="n"/>
      <c r="B30" s="228" t="inlineStr">
        <is>
          <t>电池</t>
        </is>
      </c>
      <c r="C30" s="228" t="inlineStr">
        <is>
          <t>+1pp</t>
        </is>
      </c>
      <c r="D30" s="228" t="inlineStr">
        <is>
          <t>⬆利好</t>
        </is>
      </c>
    </row>
    <row r="31" ht="17.15" customHeight="1" s="183">
      <c r="A31" s="228" t="inlineStr">
        <is>
          <t>宏观/消费</t>
        </is>
      </c>
      <c r="B31" s="228" t="inlineStr">
        <is>
          <t>养殖</t>
        </is>
      </c>
      <c r="C31" s="228" t="inlineStr">
        <is>
          <t>-4pp</t>
        </is>
      </c>
      <c r="D31" s="228" t="inlineStr">
        <is>
          <t>⬇利空</t>
        </is>
      </c>
    </row>
    <row r="32" ht="15" customHeight="1" s="183">
      <c r="A32" s="228" t="n"/>
      <c r="B32" s="228" t="inlineStr">
        <is>
          <t>银行</t>
        </is>
      </c>
      <c r="C32" s="228" t="inlineStr">
        <is>
          <t>-2pp</t>
        </is>
      </c>
      <c r="D32" s="228" t="inlineStr">
        <is>
          <t>⬇利空</t>
        </is>
      </c>
    </row>
    <row r="33" ht="17.15" customHeight="1" s="183">
      <c r="A33" s="228" t="inlineStr">
        <is>
          <t>霍尔木兹/能源</t>
        </is>
      </c>
      <c r="B33" s="228" t="inlineStr">
        <is>
          <t>芯片</t>
        </is>
      </c>
      <c r="C33" s="228" t="inlineStr">
        <is>
          <t>+1pp</t>
        </is>
      </c>
      <c r="D33" s="228" t="inlineStr">
        <is>
          <t>⬆利好</t>
        </is>
      </c>
    </row>
    <row r="34" ht="15" customHeight="1" s="183">
      <c r="A34" s="228" t="n"/>
      <c r="B34" s="228" t="inlineStr">
        <is>
          <t>电池</t>
        </is>
      </c>
      <c r="C34" s="228" t="inlineStr">
        <is>
          <t>+6pp</t>
        </is>
      </c>
      <c r="D34" s="228" t="inlineStr">
        <is>
          <t>⬆利好</t>
        </is>
      </c>
    </row>
    <row r="35" ht="15" customHeight="1" s="183">
      <c r="A35" s="228" t="n"/>
      <c r="B35" s="228" t="inlineStr">
        <is>
          <t>养殖</t>
        </is>
      </c>
      <c r="C35" s="228" t="inlineStr">
        <is>
          <t>+9pp</t>
        </is>
      </c>
      <c r="D35" s="228" t="inlineStr">
        <is>
          <t>⬆利好</t>
        </is>
      </c>
    </row>
    <row r="37" ht="15" customHeight="1" s="183">
      <c r="A37" s="237" t="inlineStr">
        <is>
          <t>三、跨品种传导系数</t>
        </is>
      </c>
    </row>
    <row r="38" ht="15" customHeight="1" s="183">
      <c r="A38" s="298" t="inlineStr">
        <is>
          <t>品种</t>
        </is>
      </c>
      <c r="B38" s="298" t="inlineStr">
        <is>
          <t>芯片</t>
        </is>
      </c>
      <c r="C38" s="298" t="inlineStr">
        <is>
          <t>电池</t>
        </is>
      </c>
      <c r="D38" s="298" t="inlineStr">
        <is>
          <t>恒科</t>
        </is>
      </c>
      <c r="E38" s="298" t="inlineStr">
        <is>
          <t>养殖</t>
        </is>
      </c>
      <c r="F38" s="298" t="inlineStr">
        <is>
          <t>有色</t>
        </is>
      </c>
      <c r="G38" s="298" t="inlineStr">
        <is>
          <t>银行</t>
        </is>
      </c>
      <c r="H38" s="298" t="inlineStr">
        <is>
          <t>黄金</t>
        </is>
      </c>
    </row>
    <row r="39" ht="15" customHeight="1" s="183">
      <c r="A39" s="228" t="inlineStr">
        <is>
          <t>芯片</t>
        </is>
      </c>
      <c r="B39" s="228" t="inlineStr">
        <is>
          <t>自身</t>
        </is>
      </c>
    </row>
    <row r="40" ht="17.15" customHeight="1" s="183">
      <c r="C40" s="228" t="inlineStr">
        <is>
          <t>反向(3源)</t>
        </is>
      </c>
    </row>
    <row r="41" ht="17.15" customHeight="1" s="183">
      <c r="D41" s="228" t="inlineStr">
        <is>
          <t>同向(3源)</t>
        </is>
      </c>
    </row>
    <row r="42" ht="17.15" customHeight="1" s="183">
      <c r="E42" s="228" t="inlineStr">
        <is>
          <t>同向(1源)</t>
        </is>
      </c>
    </row>
    <row r="43" ht="17.15" customHeight="1" s="183">
      <c r="F43" s="228" t="inlineStr">
        <is>
          <t>反向(2源)</t>
        </is>
      </c>
    </row>
    <row r="44" ht="17.15" customHeight="1" s="183">
      <c r="G44" s="228" t="inlineStr">
        <is>
          <t>同向(1源)</t>
        </is>
      </c>
    </row>
    <row r="45" ht="15" customHeight="1" s="183">
      <c r="H45" s="228" t="inlineStr">
        <is>
          <t>无传导</t>
        </is>
      </c>
    </row>
    <row r="46" ht="17.15" customHeight="1" s="183">
      <c r="A46" s="228" t="inlineStr">
        <is>
          <t>电池</t>
        </is>
      </c>
      <c r="B46" s="228" t="inlineStr">
        <is>
          <t>反向(3源)</t>
        </is>
      </c>
    </row>
    <row r="47" ht="15" customHeight="1" s="183">
      <c r="C47" s="228" t="inlineStr">
        <is>
          <t>自身</t>
        </is>
      </c>
    </row>
    <row r="48" ht="17.15" customHeight="1" s="183">
      <c r="D48" s="228" t="inlineStr">
        <is>
          <t>反向(2源)</t>
        </is>
      </c>
    </row>
    <row r="49" ht="17.15" customHeight="1" s="183">
      <c r="E49" s="228" t="inlineStr">
        <is>
          <t>同向(1源)</t>
        </is>
      </c>
    </row>
    <row r="50" ht="17.15" customHeight="1" s="183">
      <c r="F50" s="228" t="inlineStr">
        <is>
          <t>反向(1源)</t>
        </is>
      </c>
    </row>
    <row r="51" ht="17.15" customHeight="1" s="183">
      <c r="G51" s="228" t="inlineStr">
        <is>
          <t>反向(1源)</t>
        </is>
      </c>
    </row>
    <row r="52" ht="15" customHeight="1" s="183">
      <c r="H52" s="228" t="inlineStr">
        <is>
          <t>无传导</t>
        </is>
      </c>
    </row>
    <row r="53" ht="17.15" customHeight="1" s="183">
      <c r="A53" s="228" t="inlineStr">
        <is>
          <t>恒科</t>
        </is>
      </c>
      <c r="B53" s="228" t="inlineStr">
        <is>
          <t>同向(3源)</t>
        </is>
      </c>
    </row>
    <row r="54" ht="17.15" customHeight="1" s="183">
      <c r="C54" s="228" t="inlineStr">
        <is>
          <t>反向(2源)</t>
        </is>
      </c>
    </row>
    <row r="55" ht="15" customHeight="1" s="183">
      <c r="D55" s="228" t="inlineStr">
        <is>
          <t>自身</t>
        </is>
      </c>
    </row>
    <row r="56" ht="15" customHeight="1" s="183">
      <c r="E56" s="228" t="inlineStr">
        <is>
          <t>无传导</t>
        </is>
      </c>
    </row>
    <row r="57" ht="17.15" customHeight="1" s="183">
      <c r="F57" s="228" t="inlineStr">
        <is>
          <t>同向(2源)</t>
        </is>
      </c>
    </row>
    <row r="58" ht="17.15" customHeight="1" s="183">
      <c r="G58" s="228" t="inlineStr">
        <is>
          <t>同向(1源)</t>
        </is>
      </c>
    </row>
    <row r="59" ht="15" customHeight="1" s="183">
      <c r="H59" s="228" t="inlineStr">
        <is>
          <t>无传导</t>
        </is>
      </c>
    </row>
    <row r="60" ht="17.15" customHeight="1" s="183">
      <c r="A60" s="228" t="inlineStr">
        <is>
          <t>养殖</t>
        </is>
      </c>
      <c r="B60" s="228" t="inlineStr">
        <is>
          <t>同向(1源)</t>
        </is>
      </c>
    </row>
    <row r="61" ht="17.15" customHeight="1" s="183">
      <c r="C61" s="228" t="inlineStr">
        <is>
          <t>同向(1源)</t>
        </is>
      </c>
    </row>
    <row r="62" ht="15" customHeight="1" s="183">
      <c r="D62" s="228" t="inlineStr">
        <is>
          <t>无传导</t>
        </is>
      </c>
    </row>
    <row r="63" ht="15" customHeight="1" s="183">
      <c r="E63" s="228" t="inlineStr">
        <is>
          <t>自身</t>
        </is>
      </c>
    </row>
    <row r="64" ht="15" customHeight="1" s="183">
      <c r="F64" s="228" t="inlineStr">
        <is>
          <t>无传导</t>
        </is>
      </c>
    </row>
    <row r="65" ht="17.15" customHeight="1" s="183">
      <c r="G65" s="228" t="inlineStr">
        <is>
          <t>同向(1源)</t>
        </is>
      </c>
    </row>
    <row r="66" ht="15" customHeight="1" s="183">
      <c r="H66" s="228" t="inlineStr">
        <is>
          <t>无传导</t>
        </is>
      </c>
    </row>
    <row r="67" ht="17.15" customHeight="1" s="183">
      <c r="A67" s="228" t="inlineStr">
        <is>
          <t>有色</t>
        </is>
      </c>
      <c r="B67" s="228" t="inlineStr">
        <is>
          <t>反向(2源)</t>
        </is>
      </c>
    </row>
    <row r="68" ht="17.15" customHeight="1" s="183">
      <c r="C68" s="228" t="inlineStr">
        <is>
          <t>反向(1源)</t>
        </is>
      </c>
    </row>
    <row r="69" ht="17.15" customHeight="1" s="183">
      <c r="D69" s="228" t="inlineStr">
        <is>
          <t>同向(2源)</t>
        </is>
      </c>
    </row>
    <row r="70" ht="15" customHeight="1" s="183">
      <c r="E70" s="228" t="inlineStr">
        <is>
          <t>无传导</t>
        </is>
      </c>
    </row>
    <row r="71" ht="15" customHeight="1" s="183">
      <c r="F71" s="228" t="inlineStr">
        <is>
          <t>自身</t>
        </is>
      </c>
    </row>
    <row r="72" ht="15" customHeight="1" s="183">
      <c r="G72" s="228" t="inlineStr">
        <is>
          <t>无传导</t>
        </is>
      </c>
    </row>
    <row r="73" ht="15" customHeight="1" s="183">
      <c r="H73" s="228" t="inlineStr">
        <is>
          <t>无传导</t>
        </is>
      </c>
    </row>
    <row r="74" ht="17.15" customHeight="1" s="183">
      <c r="A74" s="228" t="inlineStr">
        <is>
          <t>银行</t>
        </is>
      </c>
      <c r="B74" s="228" t="inlineStr">
        <is>
          <t>同向(1源)</t>
        </is>
      </c>
    </row>
    <row r="75" ht="17.15" customHeight="1" s="183">
      <c r="C75" s="228" t="inlineStr">
        <is>
          <t>反向(1源)</t>
        </is>
      </c>
    </row>
    <row r="76" ht="17.15" customHeight="1" s="183">
      <c r="D76" s="228" t="inlineStr">
        <is>
          <t>同向(1源)</t>
        </is>
      </c>
    </row>
    <row r="77" ht="17.15" customHeight="1" s="183">
      <c r="E77" s="228" t="inlineStr">
        <is>
          <t>同向(1源)</t>
        </is>
      </c>
    </row>
    <row r="78" ht="15" customHeight="1" s="183">
      <c r="F78" s="228" t="inlineStr">
        <is>
          <t>无传导</t>
        </is>
      </c>
    </row>
    <row r="79" ht="15" customHeight="1" s="183">
      <c r="G79" s="228" t="inlineStr">
        <is>
          <t>自身</t>
        </is>
      </c>
    </row>
    <row r="80" ht="15" customHeight="1" s="183">
      <c r="H80" s="228" t="inlineStr">
        <is>
          <t>无传导</t>
        </is>
      </c>
    </row>
    <row r="81" ht="15" customHeight="1" s="183">
      <c r="A81" s="228" t="inlineStr">
        <is>
          <t>黄金</t>
        </is>
      </c>
      <c r="B81" s="228" t="inlineStr">
        <is>
          <t>无传导</t>
        </is>
      </c>
    </row>
    <row r="82" ht="15" customHeight="1" s="183">
      <c r="C82" s="228" t="inlineStr">
        <is>
          <t>无传导</t>
        </is>
      </c>
    </row>
    <row r="83" ht="15" customHeight="1" s="183">
      <c r="D83" s="228" t="inlineStr">
        <is>
          <t>无传导</t>
        </is>
      </c>
    </row>
    <row r="84" ht="15" customHeight="1" s="183">
      <c r="E84" s="228" t="inlineStr">
        <is>
          <t>无传导</t>
        </is>
      </c>
    </row>
    <row r="85" ht="15" customHeight="1" s="183">
      <c r="F85" s="228" t="inlineStr">
        <is>
          <t>无传导</t>
        </is>
      </c>
    </row>
    <row r="86" ht="15" customHeight="1" s="183">
      <c r="G86" s="228" t="inlineStr">
        <is>
          <t>无传导</t>
        </is>
      </c>
    </row>
    <row r="87" ht="15" customHeight="1" s="183">
      <c r="H87" s="228" t="inlineStr">
        <is>
          <t>自身</t>
        </is>
      </c>
    </row>
    <row r="89" ht="18.65" customHeight="1" s="183">
      <c r="A89" s="237" t="inlineStr">
        <is>
          <t>四、P值修正建议</t>
        </is>
      </c>
    </row>
    <row r="90" ht="17.15" customHeight="1" s="183">
      <c r="A90" s="234" t="inlineStr">
        <is>
          <t>P=41% → 建议45% (存储→芯片资金传导+4pp)</t>
        </is>
      </c>
      <c r="B90" s="299" t="n"/>
      <c r="C90" s="299" t="n"/>
      <c r="D90" s="299" t="n"/>
      <c r="E90" s="299" t="n"/>
      <c r="F90" s="299" t="n"/>
      <c r="G90" s="299" t="n"/>
      <c r="H90" s="300" t="n"/>
    </row>
    <row r="91" ht="17.15" customHeight="1" s="183">
      <c r="A91" s="234" t="inlineStr">
        <is>
          <t>P=70% → 建议60-65% (持有亏12.5%→虚P偏高)</t>
        </is>
      </c>
      <c r="B91" s="299" t="n"/>
      <c r="C91" s="299" t="n"/>
      <c r="D91" s="299" t="n"/>
      <c r="E91" s="299" t="n"/>
      <c r="F91" s="299" t="n"/>
      <c r="G91" s="299" t="n"/>
      <c r="H91" s="300" t="n"/>
    </row>
    <row r="92" ht="17.15" customHeight="1" s="183">
      <c r="A92" s="234" t="inlineStr">
        <is>
          <t>P=39%维持 (事件链-11pp与价格-10.7%方向一致)</t>
        </is>
      </c>
      <c r="B92" s="299" t="n"/>
      <c r="C92" s="299" t="n"/>
      <c r="D92" s="299" t="n"/>
      <c r="E92" s="299" t="n"/>
      <c r="F92" s="299" t="n"/>
      <c r="G92" s="299" t="n"/>
      <c r="H92" s="300" t="n"/>
    </row>
    <row r="93" ht="17.15" customHeight="1" s="183">
      <c r="A93" s="234" t="inlineStr">
        <is>
          <t>P=65%维持 (拟合97分，方向正确)</t>
        </is>
      </c>
      <c r="B93" s="299" t="n"/>
      <c r="C93" s="299" t="n"/>
      <c r="D93" s="299" t="n"/>
      <c r="E93" s="299" t="n"/>
      <c r="F93" s="299" t="n"/>
      <c r="G93" s="299" t="n"/>
      <c r="H93" s="300" t="n"/>
    </row>
  </sheetData>
  <mergeCells count="5">
    <mergeCell ref="A92:H92"/>
    <mergeCell ref="A91:H91"/>
    <mergeCell ref="A1:I1"/>
    <mergeCell ref="A90:H90"/>
    <mergeCell ref="A93:H9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H6" activeCellId="0" sqref="H6"/>
    </sheetView>
  </sheetViews>
  <sheetFormatPr baseColWidth="8" defaultColWidth="8.6171875" defaultRowHeight="15" customHeight="0" zeroHeight="0" outlineLevelRow="0"/>
  <cols>
    <col width="18" customWidth="1" style="332" min="1" max="9"/>
  </cols>
  <sheetData>
    <row r="1" ht="21.6" customHeight="1" s="183">
      <c r="A1" s="202" t="inlineStr">
        <is>
          <t>持仓盈亏联动分析 (2026-06-05)</t>
        </is>
      </c>
    </row>
    <row r="3" ht="15" customHeight="1" s="183">
      <c r="A3" s="237" t="inlineStr">
        <is>
          <t>一、持仓盈亏总览</t>
        </is>
      </c>
    </row>
    <row r="4" ht="17.15" customHeight="1" s="183">
      <c r="A4" s="298" t="inlineStr">
        <is>
          <t>基金名称</t>
        </is>
      </c>
      <c r="B4" s="298" t="inlineStr">
        <is>
          <t>代码</t>
        </is>
      </c>
      <c r="C4" s="298" t="inlineStr">
        <is>
          <t>成本</t>
        </is>
      </c>
      <c r="D4" s="298" t="inlineStr">
        <is>
          <t>支付宝市值</t>
        </is>
      </c>
      <c r="E4" s="298" t="inlineStr">
        <is>
          <t>持有盈亏%</t>
        </is>
      </c>
      <c r="F4" s="298" t="inlineStr">
        <is>
          <t>API今日涨跌%</t>
        </is>
      </c>
      <c r="G4" s="298" t="inlineStr">
        <is>
          <t>API净值</t>
        </is>
      </c>
      <c r="H4" s="298" t="inlineStr">
        <is>
          <t>P值</t>
        </is>
      </c>
      <c r="I4" s="298" t="inlineStr">
        <is>
          <t>拟合</t>
        </is>
      </c>
      <c r="J4" s="298" t="inlineStr">
        <is>
          <t>诊断</t>
        </is>
      </c>
    </row>
    <row r="5" ht="17.15" customHeight="1" s="183">
      <c r="A5" s="228" t="inlineStr">
        <is>
          <t>汇添富上证科创板芯片ETF联接A</t>
        </is>
      </c>
      <c r="B5" s="228" t="inlineStr">
        <is>
          <t>020628</t>
        </is>
      </c>
      <c r="C5" s="228" t="inlineStr">
        <is>
          <t>3206</t>
        </is>
      </c>
      <c r="D5" s="228" t="inlineStr">
        <is>
          <t>3332</t>
        </is>
      </c>
      <c r="E5" s="228" t="inlineStr">
        <is>
          <t>+3.93%</t>
        </is>
      </c>
      <c r="F5" s="228" t="inlineStr">
        <is>
          <t>-4.87%</t>
        </is>
      </c>
      <c r="G5" s="228" t="inlineStr">
        <is>
          <t>3.5305</t>
        </is>
      </c>
      <c r="H5" s="228" t="inlineStr">
        <is>
          <t>41%</t>
        </is>
      </c>
      <c r="I5" s="228" t="inlineStr">
        <is>
          <t>0分</t>
        </is>
      </c>
      <c r="J5" s="228" t="inlineStr">
        <is>
          <t>拟合失效; 短期下跌</t>
        </is>
      </c>
    </row>
    <row r="6" ht="17.15" customHeight="1" s="183">
      <c r="A6" s="228" t="inlineStr">
        <is>
          <t>南方中证电池主题ETF联接A</t>
        </is>
      </c>
      <c r="B6" s="228" t="inlineStr">
        <is>
          <t>018926</t>
        </is>
      </c>
      <c r="C6" s="228" t="inlineStr">
        <is>
          <t>6811</t>
        </is>
      </c>
      <c r="D6" s="228" t="inlineStr">
        <is>
          <t>7220</t>
        </is>
      </c>
      <c r="E6" s="228" t="inlineStr">
        <is>
          <t>+6.01%</t>
        </is>
      </c>
      <c r="F6" s="228" t="inlineStr">
        <is>
          <t>-1.88%</t>
        </is>
      </c>
      <c r="G6" s="228" t="inlineStr">
        <is>
          <t>1.7183</t>
        </is>
      </c>
      <c r="H6" s="228" t="inlineStr">
        <is>
          <t>65%</t>
        </is>
      </c>
      <c r="I6" s="228" t="inlineStr">
        <is>
          <t>97分</t>
        </is>
      </c>
      <c r="J6" s="228" t="inlineStr">
        <is>
          <t>正常</t>
        </is>
      </c>
    </row>
    <row r="7" ht="17.15" customHeight="1" s="183">
      <c r="A7" s="228" t="inlineStr">
        <is>
          <t>天弘恒生科技ETF联接C</t>
        </is>
      </c>
      <c r="B7" s="228" t="inlineStr">
        <is>
          <t>012349</t>
        </is>
      </c>
      <c r="C7" s="228" t="inlineStr">
        <is>
          <t>4822</t>
        </is>
      </c>
      <c r="D7" s="228" t="inlineStr">
        <is>
          <t>4535</t>
        </is>
      </c>
      <c r="E7" s="228" t="inlineStr">
        <is>
          <t>-5.95%</t>
        </is>
      </c>
      <c r="F7" s="228" t="inlineStr">
        <is>
          <t>-1.66%</t>
        </is>
      </c>
      <c r="G7" s="228" t="inlineStr">
        <is>
          <t>0.6725</t>
        </is>
      </c>
      <c r="H7" s="228" t="inlineStr">
        <is>
          <t>27%</t>
        </is>
      </c>
      <c r="I7" s="228" t="inlineStr">
        <is>
          <t>75分</t>
        </is>
      </c>
      <c r="J7" s="228" t="inlineStr">
        <is>
          <t>正常</t>
        </is>
      </c>
    </row>
    <row r="8" ht="17.15" customHeight="1" s="183">
      <c r="A8" s="228" t="inlineStr">
        <is>
          <t>招商中证畜牧养殖ETF联接C</t>
        </is>
      </c>
      <c r="B8" s="228" t="inlineStr">
        <is>
          <t>014415</t>
        </is>
      </c>
      <c r="C8" s="228" t="inlineStr">
        <is>
          <t>4432</t>
        </is>
      </c>
      <c r="D8" s="228" t="inlineStr">
        <is>
          <t>3878</t>
        </is>
      </c>
      <c r="E8" s="228" t="inlineStr">
        <is>
          <t>-12.49%</t>
        </is>
      </c>
      <c r="F8" s="228" t="inlineStr">
        <is>
          <t>-0.48%</t>
        </is>
      </c>
      <c r="G8" s="228" t="inlineStr">
        <is>
          <t>0.7249</t>
        </is>
      </c>
      <c r="H8" s="228" t="inlineStr">
        <is>
          <t>70%</t>
        </is>
      </c>
      <c r="I8" s="228" t="inlineStr">
        <is>
          <t>95分</t>
        </is>
      </c>
      <c r="J8" s="228" t="inlineStr">
        <is>
          <t>虚P过高; 亏损&gt;10%</t>
        </is>
      </c>
    </row>
    <row r="9" ht="17.15" customHeight="1" s="183">
      <c r="A9" s="228" t="inlineStr">
        <is>
          <t>南方有色金属ETF联接C</t>
        </is>
      </c>
      <c r="B9" s="228" t="inlineStr">
        <is>
          <t>004433</t>
        </is>
      </c>
      <c r="C9" s="228" t="inlineStr">
        <is>
          <t>4800</t>
        </is>
      </c>
      <c r="D9" s="228" t="inlineStr">
        <is>
          <t>4781</t>
        </is>
      </c>
      <c r="E9" s="228" t="inlineStr">
        <is>
          <t>-0.41%</t>
        </is>
      </c>
      <c r="F9" s="228" t="inlineStr">
        <is>
          <t>-2.12%</t>
        </is>
      </c>
      <c r="G9" s="228" t="inlineStr">
        <is>
          <t>1.8756</t>
        </is>
      </c>
      <c r="H9" s="228" t="inlineStr">
        <is>
          <t>39%</t>
        </is>
      </c>
      <c r="I9" s="228" t="inlineStr">
        <is>
          <t>0分</t>
        </is>
      </c>
      <c r="J9" s="228" t="inlineStr">
        <is>
          <t>拟合失效</t>
        </is>
      </c>
    </row>
    <row r="10" ht="17.15" customHeight="1" s="183">
      <c r="A10" s="228" t="inlineStr">
        <is>
          <t>嘉实中证稀有金属主题ETF联接C</t>
        </is>
      </c>
      <c r="B10" s="228" t="inlineStr">
        <is>
          <t>014111</t>
        </is>
      </c>
      <c r="C10" s="228" t="inlineStr">
        <is>
          <t>5822</t>
        </is>
      </c>
      <c r="D10" s="228" t="inlineStr">
        <is>
          <t>5872</t>
        </is>
      </c>
      <c r="E10" s="228" t="inlineStr">
        <is>
          <t>+0.85%</t>
        </is>
      </c>
      <c r="F10" s="228" t="inlineStr">
        <is>
          <t>-1.24%</t>
        </is>
      </c>
      <c r="G10" s="228" t="inlineStr">
        <is>
          <t>1.0594</t>
        </is>
      </c>
      <c r="H10" s="228" t="inlineStr">
        <is>
          <t>40%</t>
        </is>
      </c>
      <c r="I10" s="228" t="inlineStr">
        <is>
          <t>0分</t>
        </is>
      </c>
      <c r="J10" s="228" t="inlineStr">
        <is>
          <t>拟合失效</t>
        </is>
      </c>
    </row>
    <row r="11" ht="17.15" customHeight="1" s="183">
      <c r="A11" s="228" t="inlineStr">
        <is>
          <t>银行ETF联接C</t>
        </is>
      </c>
      <c r="B11" s="228" t="inlineStr">
        <is>
          <t>001595</t>
        </is>
      </c>
      <c r="C11" s="228" t="inlineStr">
        <is>
          <t>0</t>
        </is>
      </c>
      <c r="D11" s="228" t="inlineStr">
        <is>
          <t>0</t>
        </is>
      </c>
      <c r="E11" s="228" t="inlineStr">
        <is>
          <t>+0.00%</t>
        </is>
      </c>
      <c r="F11" s="228" t="inlineStr">
        <is>
          <t>+1.32%</t>
        </is>
      </c>
      <c r="G11" s="228" t="inlineStr">
        <is>
          <t>1.6526</t>
        </is>
      </c>
      <c r="H11" s="228" t="inlineStr">
        <is>
          <t>47%</t>
        </is>
      </c>
      <c r="I11" s="228" t="inlineStr">
        <is>
          <t>53分</t>
        </is>
      </c>
      <c r="J11" s="228" t="inlineStr">
        <is>
          <t>正常</t>
        </is>
      </c>
    </row>
    <row r="12" ht="17.15" customHeight="1" s="183">
      <c r="A12" s="228" t="inlineStr">
        <is>
          <t>景顺长城中证科创创业人工智能ETF</t>
        </is>
      </c>
      <c r="B12" s="228" t="inlineStr">
        <is>
          <t>027048</t>
        </is>
      </c>
      <c r="C12" s="228" t="inlineStr">
        <is>
          <t>101</t>
        </is>
      </c>
      <c r="D12" s="228" t="inlineStr">
        <is>
          <t>99</t>
        </is>
      </c>
      <c r="E12" s="228" t="inlineStr">
        <is>
          <t>-2.23%</t>
        </is>
      </c>
      <c r="F12" s="228" t="inlineStr">
        <is>
          <t>-4.08%</t>
        </is>
      </c>
      <c r="G12" s="228" t="inlineStr">
        <is>
          <t>1.109</t>
        </is>
      </c>
      <c r="H12" s="228" t="inlineStr">
        <is>
          <t>-</t>
        </is>
      </c>
      <c r="I12" s="228" t="inlineStr">
        <is>
          <t>-</t>
        </is>
      </c>
      <c r="J12" s="228" t="inlineStr">
        <is>
          <t>正常</t>
        </is>
      </c>
    </row>
    <row r="13" ht="17.15" customHeight="1" s="183">
      <c r="A13" s="228" t="inlineStr">
        <is>
          <t>国泰黄金ETF联接A</t>
        </is>
      </c>
      <c r="B13" s="228" t="inlineStr">
        <is>
          <t>000218</t>
        </is>
      </c>
      <c r="C13" s="228" t="inlineStr">
        <is>
          <t>2787</t>
        </is>
      </c>
      <c r="D13" s="228" t="inlineStr">
        <is>
          <t>2594</t>
        </is>
      </c>
      <c r="E13" s="228" t="inlineStr">
        <is>
          <t>-6.92%</t>
        </is>
      </c>
      <c r="F13" s="228" t="inlineStr">
        <is>
          <t>-0.01%</t>
        </is>
      </c>
      <c r="G13" s="228" t="inlineStr">
        <is>
          <t>3.5234</t>
        </is>
      </c>
      <c r="H13" s="228" t="inlineStr">
        <is>
          <t>-</t>
        </is>
      </c>
      <c r="I13" s="228" t="inlineStr">
        <is>
          <t>-</t>
        </is>
      </c>
      <c r="J13" s="228" t="inlineStr">
        <is>
          <t>正常</t>
        </is>
      </c>
    </row>
    <row r="14" ht="17.15" customHeight="1" s="183">
      <c r="A14" s="228" t="inlineStr">
        <is>
          <t>博时黄金ETF联接C</t>
        </is>
      </c>
      <c r="B14" s="228" t="inlineStr">
        <is>
          <t>002611</t>
        </is>
      </c>
      <c r="C14" s="228" t="inlineStr">
        <is>
          <t>3267</t>
        </is>
      </c>
      <c r="D14" s="228" t="inlineStr">
        <is>
          <t>3082</t>
        </is>
      </c>
      <c r="E14" s="228" t="inlineStr">
        <is>
          <t>-5.66%</t>
        </is>
      </c>
      <c r="F14" s="228" t="inlineStr">
        <is>
          <t>-0.01%</t>
        </is>
      </c>
      <c r="G14" s="228" t="inlineStr">
        <is>
          <t>3.0625</t>
        </is>
      </c>
      <c r="H14" s="228" t="inlineStr">
        <is>
          <t>-</t>
        </is>
      </c>
      <c r="I14" s="228" t="inlineStr">
        <is>
          <t>-</t>
        </is>
      </c>
      <c r="J14" s="228" t="inlineStr">
        <is>
          <t>正常</t>
        </is>
      </c>
    </row>
    <row r="15" ht="17.15" customHeight="1" s="183">
      <c r="A15" s="228" t="inlineStr">
        <is>
          <t>建信上海金ETF联接C</t>
        </is>
      </c>
      <c r="B15" s="228" t="inlineStr">
        <is>
          <t>009034</t>
        </is>
      </c>
      <c r="C15" s="228" t="inlineStr">
        <is>
          <t>2939</t>
        </is>
      </c>
      <c r="D15" s="228" t="inlineStr">
        <is>
          <t>2828</t>
        </is>
      </c>
      <c r="E15" s="228" t="inlineStr">
        <is>
          <t>-3.83%</t>
        </is>
      </c>
      <c r="F15" s="228" t="inlineStr">
        <is>
          <t>+0.00%</t>
        </is>
      </c>
      <c r="G15" s="228" t="inlineStr">
        <is>
          <t>2.2511</t>
        </is>
      </c>
      <c r="H15" s="228" t="inlineStr">
        <is>
          <t>-</t>
        </is>
      </c>
      <c r="I15" s="228" t="inlineStr">
        <is>
          <t>-</t>
        </is>
      </c>
      <c r="J15" s="228" t="inlineStr">
        <is>
          <t>正常</t>
        </is>
      </c>
    </row>
    <row r="16" ht="17.15" customHeight="1" s="183">
      <c r="A16" s="228" t="inlineStr">
        <is>
          <t>前海开源金银珠宝混合C</t>
        </is>
      </c>
      <c r="B16" s="228" t="inlineStr">
        <is>
          <t>002207</t>
        </is>
      </c>
      <c r="C16" s="228" t="inlineStr">
        <is>
          <t>8839</t>
        </is>
      </c>
      <c r="D16" s="228" t="inlineStr">
        <is>
          <t>7311</t>
        </is>
      </c>
      <c r="E16" s="228" t="inlineStr">
        <is>
          <t>-17.29%</t>
        </is>
      </c>
      <c r="F16" s="228" t="inlineStr">
        <is>
          <t>-1.15%</t>
        </is>
      </c>
      <c r="G16" s="228" t="inlineStr">
        <is>
          <t>2.534</t>
        </is>
      </c>
      <c r="H16" s="228" t="inlineStr">
        <is>
          <t>-</t>
        </is>
      </c>
      <c r="I16" s="228" t="inlineStr">
        <is>
          <t>-</t>
        </is>
      </c>
      <c r="J16" s="228" t="inlineStr">
        <is>
          <t>亏损&gt;10%</t>
        </is>
      </c>
    </row>
    <row r="18" ht="15" customHeight="1" s="183">
      <c r="A18" s="237" t="inlineStr">
        <is>
          <t>二、事件传导矩阵</t>
        </is>
      </c>
    </row>
    <row r="19" ht="15" customHeight="1" s="183">
      <c r="A19" s="298" t="inlineStr">
        <is>
          <t>源头事件</t>
        </is>
      </c>
      <c r="B19" s="298" t="inlineStr">
        <is>
          <t>品种</t>
        </is>
      </c>
      <c r="C19" s="298" t="inlineStr">
        <is>
          <t>PP</t>
        </is>
      </c>
      <c r="D19" s="298" t="inlineStr">
        <is>
          <t>方向</t>
        </is>
      </c>
    </row>
    <row r="20" ht="17.15" customHeight="1" s="183">
      <c r="A20" s="228" t="inlineStr">
        <is>
          <t>AI/科技</t>
        </is>
      </c>
      <c r="B20" s="228" t="inlineStr">
        <is>
          <t>恒科</t>
        </is>
      </c>
      <c r="C20" s="228" t="inlineStr">
        <is>
          <t>-5pp</t>
        </is>
      </c>
      <c r="D20" s="228" t="inlineStr">
        <is>
          <t>利空</t>
        </is>
      </c>
    </row>
    <row r="21" ht="15" customHeight="1" s="183">
      <c r="A21" s="228" t="n"/>
      <c r="B21" s="228" t="inlineStr">
        <is>
          <t>有色</t>
        </is>
      </c>
      <c r="C21" s="228" t="inlineStr">
        <is>
          <t>+2pp</t>
        </is>
      </c>
      <c r="D21" s="228" t="inlineStr">
        <is>
          <t>利好</t>
        </is>
      </c>
    </row>
    <row r="22" ht="15" customHeight="1" s="183">
      <c r="A22" s="228" t="n"/>
      <c r="B22" s="228" t="inlineStr">
        <is>
          <t>芯片</t>
        </is>
      </c>
      <c r="C22" s="228" t="inlineStr">
        <is>
          <t>+5pp</t>
        </is>
      </c>
      <c r="D22" s="228" t="inlineStr">
        <is>
          <t>利好</t>
        </is>
      </c>
    </row>
    <row r="23" ht="17.15" customHeight="1" s="183">
      <c r="A23" s="228" t="inlineStr">
        <is>
          <t>关税/贸易</t>
        </is>
      </c>
      <c r="B23" s="228" t="inlineStr">
        <is>
          <t>有色</t>
        </is>
      </c>
      <c r="C23" s="228" t="inlineStr">
        <is>
          <t>-5pp</t>
        </is>
      </c>
      <c r="D23" s="228" t="inlineStr">
        <is>
          <t>利空</t>
        </is>
      </c>
    </row>
    <row r="24" ht="15" customHeight="1" s="183">
      <c r="A24" s="228" t="n"/>
      <c r="B24" s="228" t="inlineStr">
        <is>
          <t>稀金</t>
        </is>
      </c>
      <c r="C24" s="228" t="inlineStr">
        <is>
          <t>-3pp</t>
        </is>
      </c>
      <c r="D24" s="228" t="inlineStr">
        <is>
          <t>利空</t>
        </is>
      </c>
    </row>
    <row r="25" ht="15" customHeight="1" s="183">
      <c r="A25" s="228" t="inlineStr">
        <is>
          <t>其他</t>
        </is>
      </c>
      <c r="B25" s="228" t="inlineStr">
        <is>
          <t>有色</t>
        </is>
      </c>
      <c r="C25" s="228" t="inlineStr">
        <is>
          <t>-8pp</t>
        </is>
      </c>
      <c r="D25" s="228" t="inlineStr">
        <is>
          <t>利空</t>
        </is>
      </c>
    </row>
    <row r="26" ht="15" customHeight="1" s="183">
      <c r="A26" s="228" t="n"/>
      <c r="B26" s="228" t="inlineStr">
        <is>
          <t>稀金</t>
        </is>
      </c>
      <c r="C26" s="228" t="inlineStr">
        <is>
          <t>-5pp</t>
        </is>
      </c>
      <c r="D26" s="228" t="inlineStr">
        <is>
          <t>利空</t>
        </is>
      </c>
    </row>
    <row r="27" ht="15" customHeight="1" s="183">
      <c r="A27" s="228" t="n"/>
      <c r="B27" s="228" t="inlineStr">
        <is>
          <t>恒科</t>
        </is>
      </c>
      <c r="C27" s="228" t="inlineStr">
        <is>
          <t>-4pp</t>
        </is>
      </c>
      <c r="D27" s="228" t="inlineStr">
        <is>
          <t>利空</t>
        </is>
      </c>
    </row>
    <row r="28" ht="15" customHeight="1" s="183">
      <c r="A28" s="228" t="n"/>
      <c r="B28" s="228" t="inlineStr">
        <is>
          <t>芯片</t>
        </is>
      </c>
      <c r="C28" s="228" t="inlineStr">
        <is>
          <t>-2pp</t>
        </is>
      </c>
      <c r="D28" s="228" t="inlineStr">
        <is>
          <t>利空</t>
        </is>
      </c>
    </row>
    <row r="29" ht="15" customHeight="1" s="183">
      <c r="A29" s="228" t="n"/>
      <c r="B29" s="228" t="inlineStr">
        <is>
          <t>电池</t>
        </is>
      </c>
      <c r="C29" s="228" t="inlineStr">
        <is>
          <t>+16pp</t>
        </is>
      </c>
      <c r="D29" s="228" t="inlineStr">
        <is>
          <t>利好</t>
        </is>
      </c>
    </row>
    <row r="30" ht="15" customHeight="1" s="183">
      <c r="A30" s="228" t="inlineStr">
        <is>
          <t>利率上行</t>
        </is>
      </c>
      <c r="B30" s="228" t="inlineStr">
        <is>
          <t>芯片</t>
        </is>
      </c>
      <c r="C30" s="228" t="inlineStr">
        <is>
          <t>-8pp</t>
        </is>
      </c>
      <c r="D30" s="228" t="inlineStr">
        <is>
          <t>利空</t>
        </is>
      </c>
    </row>
    <row r="31" ht="15" customHeight="1" s="183">
      <c r="A31" s="228" t="n"/>
      <c r="B31" s="228" t="inlineStr">
        <is>
          <t>恒科</t>
        </is>
      </c>
      <c r="C31" s="228" t="inlineStr">
        <is>
          <t>-7pp</t>
        </is>
      </c>
      <c r="D31" s="228" t="inlineStr">
        <is>
          <t>利空</t>
        </is>
      </c>
    </row>
    <row r="32" ht="15" customHeight="1" s="183">
      <c r="A32" s="228" t="n"/>
      <c r="B32" s="228" t="inlineStr">
        <is>
          <t>稀金</t>
        </is>
      </c>
      <c r="C32" s="228" t="inlineStr">
        <is>
          <t>-3pp</t>
        </is>
      </c>
      <c r="D32" s="228" t="inlineStr">
        <is>
          <t>利空</t>
        </is>
      </c>
    </row>
    <row r="33" ht="15" customHeight="1" s="183">
      <c r="A33" s="228" t="n"/>
      <c r="B33" s="228" t="inlineStr">
        <is>
          <t>银行</t>
        </is>
      </c>
      <c r="C33" s="228" t="inlineStr">
        <is>
          <t>-1pp</t>
        </is>
      </c>
      <c r="D33" s="228" t="inlineStr">
        <is>
          <t>利空</t>
        </is>
      </c>
    </row>
    <row r="34" ht="15" customHeight="1" s="183">
      <c r="A34" s="228" t="n"/>
      <c r="B34" s="228" t="inlineStr">
        <is>
          <t>电池</t>
        </is>
      </c>
      <c r="C34" s="228" t="inlineStr">
        <is>
          <t>+1pp</t>
        </is>
      </c>
      <c r="D34" s="228" t="inlineStr">
        <is>
          <t>利好</t>
        </is>
      </c>
    </row>
    <row r="35" ht="17.15" customHeight="1" s="183">
      <c r="A35" s="228" t="inlineStr">
        <is>
          <t>宏观/消费</t>
        </is>
      </c>
      <c r="B35" s="228" t="inlineStr">
        <is>
          <t>养殖</t>
        </is>
      </c>
      <c r="C35" s="228" t="inlineStr">
        <is>
          <t>-4pp</t>
        </is>
      </c>
      <c r="D35" s="228" t="inlineStr">
        <is>
          <t>利空</t>
        </is>
      </c>
    </row>
    <row r="36" ht="15" customHeight="1" s="183">
      <c r="A36" s="228" t="n"/>
      <c r="B36" s="228" t="inlineStr">
        <is>
          <t>银行</t>
        </is>
      </c>
      <c r="C36" s="228" t="inlineStr">
        <is>
          <t>-2pp</t>
        </is>
      </c>
      <c r="D36" s="228" t="inlineStr">
        <is>
          <t>利空</t>
        </is>
      </c>
    </row>
    <row r="37" ht="17.15" customHeight="1" s="183">
      <c r="A37" s="228" t="inlineStr">
        <is>
          <t>霍尔木兹/能源</t>
        </is>
      </c>
      <c r="B37" s="228" t="inlineStr">
        <is>
          <t>芯片</t>
        </is>
      </c>
      <c r="C37" s="228" t="inlineStr">
        <is>
          <t>+1pp</t>
        </is>
      </c>
      <c r="D37" s="228" t="inlineStr">
        <is>
          <t>利好</t>
        </is>
      </c>
    </row>
    <row r="38" ht="15" customHeight="1" s="183">
      <c r="A38" s="228" t="n"/>
      <c r="B38" s="228" t="inlineStr">
        <is>
          <t>电池</t>
        </is>
      </c>
      <c r="C38" s="228" t="inlineStr">
        <is>
          <t>+6pp</t>
        </is>
      </c>
      <c r="D38" s="228" t="inlineStr">
        <is>
          <t>利好</t>
        </is>
      </c>
    </row>
    <row r="39" ht="15" customHeight="1" s="183">
      <c r="A39" s="228" t="n"/>
      <c r="B39" s="228" t="inlineStr">
        <is>
          <t>养殖</t>
        </is>
      </c>
      <c r="C39" s="228" t="inlineStr">
        <is>
          <t>+9pp</t>
        </is>
      </c>
      <c r="D39" s="228" t="inlineStr">
        <is>
          <t>利好</t>
        </is>
      </c>
    </row>
    <row r="41" ht="15" customHeight="1" s="183">
      <c r="A41" s="237" t="inlineStr">
        <is>
          <t>三、贝叶斯回归诊断</t>
        </is>
      </c>
    </row>
    <row r="42" ht="17.15" customHeight="1" s="183">
      <c r="A42" s="224" t="inlineStr">
        <is>
          <t>P值合理性: 电池65%(97分)✅ 养殖70%(95分但虚高)⚠️ 恒科27%(75分)✅ 芯片41%(0分需修正)❌ 有色39%(0分)❌</t>
        </is>
      </c>
    </row>
    <row r="43" ht="17.15" customHeight="1" s="183">
      <c r="A43" s="224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22" customWidth="1" style="332" min="1" max="7"/>
  </cols>
  <sheetData>
    <row r="1" ht="21.6" customHeight="1" s="183">
      <c r="A1" s="202" t="inlineStr">
        <is>
          <t>🔬 贝叶斯信源校准分析 (2026-06-06)</t>
        </is>
      </c>
    </row>
    <row r="3" ht="15" customHeight="1" s="183">
      <c r="A3" s="237" t="inlineStr">
        <is>
          <t>一、方法论</t>
        </is>
      </c>
    </row>
    <row r="4" ht="17.15" customHeight="1" s="183">
      <c r="A4" s="224" t="inlineStr">
        <is>
          <t>1. 虚P事件不参与P值计算（传导机制问题，不是信源准确率问题）</t>
        </is>
      </c>
    </row>
    <row r="5" ht="17.15" customHeight="1" s="183">
      <c r="A5" s="224" t="inlineStr">
        <is>
          <t>2. 虚P事件不参与信源准确率评估（V4 Pro审核确认）</t>
        </is>
      </c>
    </row>
    <row r="6" ht="17.15" customHeight="1" s="183">
      <c r="A6" s="224" t="inlineStr">
        <is>
          <t>3. 信源权重用Beta(5,5)贝叶斯后验：weight = (correct+5)/(total+10)</t>
        </is>
      </c>
    </row>
    <row r="7" ht="17.15" customHeight="1" s="183">
      <c r="A7" s="224" t="inlineStr">
        <is>
          <t>4. 最小样本3条才开始校准，&lt;3条权重=1.0（不衰减）</t>
        </is>
      </c>
    </row>
    <row r="8" ht="17.15" customHeight="1" s="183">
      <c r="A8" s="224" t="inlineStr">
        <is>
          <t>5. 乘子 = 2×weight-1：&gt;0正向，&lt;0反向，=0忽略</t>
        </is>
      </c>
    </row>
    <row r="9" ht="17.15" customHeight="1" s="183">
      <c r="A9" s="224" t="inlineStr">
        <is>
          <t>6. 校准后P = 50% + Σ(pp_i × weight_i)（仅实P事件）</t>
        </is>
      </c>
    </row>
    <row r="10" ht="17.15" customHeight="1" s="183">
      <c r="A10" s="224" t="inlineStr">
        <is>
          <t>7. 当前状态：所有信源实P事件&lt;3条，权重校准暂未生效</t>
        </is>
      </c>
    </row>
    <row r="11" ht="17.15" customHeight="1" s="183">
      <c r="A11" s="224" t="inlineStr">
        <is>
          <t>8. 但当务之急：剔除虚P事件→P值立刻修正</t>
        </is>
      </c>
    </row>
    <row r="13" ht="18.65" customHeight="1" s="183">
      <c r="A13" s="237" t="inlineStr">
        <is>
          <t>二、虚P剔除对P值的直接影响</t>
        </is>
      </c>
    </row>
    <row r="14" ht="17.15" customHeight="1" s="183">
      <c r="A14" s="298" t="inlineStr">
        <is>
          <t>持仓</t>
        </is>
      </c>
      <c r="B14" s="298" t="inlineStr">
        <is>
          <t>原P值</t>
        </is>
      </c>
      <c r="C14" s="298" t="inlineStr">
        <is>
          <t>虚P贡献</t>
        </is>
      </c>
      <c r="D14" s="298" t="inlineStr">
        <is>
          <t>剔除后P</t>
        </is>
      </c>
      <c r="E14" s="298" t="inlineStr">
        <is>
          <t>调整</t>
        </is>
      </c>
      <c r="F14" s="298" t="inlineStr">
        <is>
          <t>持有收益率</t>
        </is>
      </c>
      <c r="G14" s="298" t="inlineStr">
        <is>
          <t>方向是否一致</t>
        </is>
      </c>
    </row>
    <row r="15" ht="17.15" customHeight="1" s="183">
      <c r="A15" s="228" t="inlineStr">
        <is>
          <t>芯片</t>
        </is>
      </c>
      <c r="B15" s="228" t="inlineStr">
        <is>
          <t>41%</t>
        </is>
      </c>
      <c r="C15" s="228" t="inlineStr">
        <is>
          <t>+2pp</t>
        </is>
      </c>
      <c r="D15" s="228" t="inlineStr">
        <is>
          <t>39%</t>
        </is>
      </c>
      <c r="E15" s="228" t="inlineStr">
        <is>
          <t>-2pp</t>
        </is>
      </c>
      <c r="F15" s="228" t="inlineStr">
        <is>
          <t>+3.93%</t>
        </is>
      </c>
      <c r="G15" s="228" t="inlineStr">
        <is>
          <t>拟合0分需更多数据</t>
        </is>
      </c>
    </row>
    <row r="16" ht="15" customHeight="1" s="183">
      <c r="A16" s="228" t="inlineStr">
        <is>
          <t>电池</t>
        </is>
      </c>
      <c r="B16" s="228" t="inlineStr">
        <is>
          <t>65%</t>
        </is>
      </c>
      <c r="C16" s="228" t="inlineStr">
        <is>
          <t>+0pp</t>
        </is>
      </c>
      <c r="D16" s="228" t="inlineStr">
        <is>
          <t>65%</t>
        </is>
      </c>
      <c r="E16" s="228" t="inlineStr">
        <is>
          <t>+0pp</t>
        </is>
      </c>
      <c r="F16" s="228" t="inlineStr">
        <is>
          <t>+6.01%</t>
        </is>
      </c>
      <c r="G16" s="228" t="inlineStr">
        <is>
          <t>✅ 方向一致</t>
        </is>
      </c>
    </row>
    <row r="17" ht="15" customHeight="1" s="183">
      <c r="A17" s="228" t="inlineStr">
        <is>
          <t>恒科</t>
        </is>
      </c>
      <c r="B17" s="228" t="inlineStr">
        <is>
          <t>27%</t>
        </is>
      </c>
      <c r="C17" s="228" t="inlineStr">
        <is>
          <t>+0pp</t>
        </is>
      </c>
      <c r="D17" s="228" t="inlineStr">
        <is>
          <t>27%</t>
        </is>
      </c>
      <c r="E17" s="228" t="inlineStr">
        <is>
          <t>+0pp</t>
        </is>
      </c>
      <c r="F17" s="228" t="inlineStr">
        <is>
          <t>-5.95%</t>
        </is>
      </c>
      <c r="G17" s="228" t="inlineStr">
        <is>
          <t>✅ 方向一致</t>
        </is>
      </c>
    </row>
    <row r="18" ht="17.15" customHeight="1" s="183">
      <c r="A18" s="228" t="inlineStr">
        <is>
          <t>养殖</t>
        </is>
      </c>
      <c r="B18" s="228" t="inlineStr">
        <is>
          <t>70%</t>
        </is>
      </c>
      <c r="C18" s="228" t="inlineStr">
        <is>
          <t>+4pp</t>
        </is>
      </c>
      <c r="D18" s="228" t="inlineStr">
        <is>
          <t>66%</t>
        </is>
      </c>
      <c r="E18" s="228" t="inlineStr">
        <is>
          <t>-4pp</t>
        </is>
      </c>
      <c r="F18" s="228" t="inlineStr">
        <is>
          <t>-12.49%</t>
        </is>
      </c>
      <c r="G18" s="301" t="inlineStr">
        <is>
          <t>❌ P=66%仍远高于实际→虚P外还有其他问题</t>
        </is>
      </c>
    </row>
    <row r="19" ht="15" customHeight="1" s="183">
      <c r="A19" s="228" t="inlineStr">
        <is>
          <t>有色</t>
        </is>
      </c>
      <c r="B19" s="228" t="inlineStr">
        <is>
          <t>39%</t>
        </is>
      </c>
      <c r="C19" s="228" t="inlineStr">
        <is>
          <t>+0pp</t>
        </is>
      </c>
      <c r="D19" s="228" t="inlineStr">
        <is>
          <t>39%</t>
        </is>
      </c>
      <c r="E19" s="228" t="inlineStr">
        <is>
          <t>+0pp</t>
        </is>
      </c>
      <c r="F19" s="228" t="inlineStr">
        <is>
          <t>-0.41%</t>
        </is>
      </c>
      <c r="G19" s="228" t="inlineStr">
        <is>
          <t>拟合不足</t>
        </is>
      </c>
    </row>
    <row r="20" ht="15" customHeight="1" s="183">
      <c r="A20" s="228" t="inlineStr">
        <is>
          <t>稀金</t>
        </is>
      </c>
      <c r="B20" s="228" t="inlineStr">
        <is>
          <t>40%</t>
        </is>
      </c>
      <c r="C20" s="228" t="inlineStr">
        <is>
          <t>+0pp</t>
        </is>
      </c>
      <c r="D20" s="228" t="inlineStr">
        <is>
          <t>40%</t>
        </is>
      </c>
      <c r="E20" s="228" t="inlineStr">
        <is>
          <t>+0pp</t>
        </is>
      </c>
      <c r="F20" s="228" t="inlineStr">
        <is>
          <t>+0.85%</t>
        </is>
      </c>
      <c r="G20" s="228" t="inlineStr">
        <is>
          <t>拟合不足</t>
        </is>
      </c>
    </row>
    <row r="21" ht="15" customHeight="1" s="183">
      <c r="A21" s="228" t="inlineStr">
        <is>
          <t>银行</t>
        </is>
      </c>
      <c r="B21" s="228" t="inlineStr">
        <is>
          <t>47%</t>
        </is>
      </c>
      <c r="C21" s="228" t="inlineStr">
        <is>
          <t>+2pp</t>
        </is>
      </c>
      <c r="D21" s="228" t="inlineStr">
        <is>
          <t>45%</t>
        </is>
      </c>
      <c r="E21" s="228" t="inlineStr">
        <is>
          <t>-2pp</t>
        </is>
      </c>
      <c r="F21" s="228" t="inlineStr">
        <is>
          <t>+0.00%</t>
        </is>
      </c>
      <c r="G21" s="228" t="inlineStr">
        <is>
          <t>监控仓</t>
        </is>
      </c>
    </row>
    <row r="23" ht="18.65" customHeight="1" s="183">
      <c r="A23" s="237" t="inlineStr">
        <is>
          <t>三、信源准确率统计（仅实P事件，待样本积累后校准）</t>
        </is>
      </c>
    </row>
    <row r="24" ht="17.15" customHeight="1" s="183">
      <c r="A24" s="298" t="inlineStr">
        <is>
          <t>信源</t>
        </is>
      </c>
      <c r="B24" s="298" t="inlineStr">
        <is>
          <t>实P事件数</t>
        </is>
      </c>
      <c r="C24" s="298" t="inlineStr">
        <is>
          <t>正确/总数</t>
        </is>
      </c>
      <c r="D24" s="298" t="inlineStr">
        <is>
          <t>后验均值(Beta5,5)</t>
        </is>
      </c>
      <c r="E24" s="298" t="inlineStr">
        <is>
          <t>校准状态</t>
        </is>
      </c>
      <c r="F24" s="298" t="inlineStr">
        <is>
          <t>备注</t>
        </is>
      </c>
    </row>
    <row r="25" ht="17.15" customHeight="1" s="183">
      <c r="A25" s="228" t="inlineStr">
        <is>
          <t>付鹏</t>
        </is>
      </c>
      <c r="B25" s="228" t="inlineStr">
        <is>
          <t>2条</t>
        </is>
      </c>
      <c r="C25" s="228" t="inlineStr">
        <is>
          <t>2/2</t>
        </is>
      </c>
      <c r="D25" s="228" t="inlineStr">
        <is>
          <t>0.58</t>
        </is>
      </c>
      <c r="E25" s="228" t="inlineStr">
        <is>
          <t>样本不足</t>
        </is>
      </c>
      <c r="F25" s="228" t="inlineStr">
        <is>
          <t>看多芯片/看空恒科都对了</t>
        </is>
      </c>
    </row>
    <row r="26" ht="17.15" customHeight="1" s="183">
      <c r="A26" s="228" t="inlineStr">
        <is>
          <t>伊娃</t>
        </is>
      </c>
      <c r="B26" s="228" t="inlineStr">
        <is>
          <t>2条</t>
        </is>
      </c>
      <c r="C26" s="301" t="inlineStr">
        <is>
          <t>0/2</t>
        </is>
      </c>
      <c r="D26" s="228" t="inlineStr">
        <is>
          <t>0.42</t>
        </is>
      </c>
      <c r="E26" s="228" t="inlineStr">
        <is>
          <t>样本不足</t>
        </is>
      </c>
      <c r="F26" s="228" t="inlineStr">
        <is>
          <t>⚠️ 2/2全错，养殖跌15%</t>
        </is>
      </c>
    </row>
    <row r="27" ht="17.15" customHeight="1" s="183">
      <c r="A27" s="228" t="inlineStr">
        <is>
          <t>无知半人</t>
        </is>
      </c>
      <c r="B27" s="228" t="inlineStr">
        <is>
          <t>2条</t>
        </is>
      </c>
      <c r="C27" s="228" t="inlineStr">
        <is>
          <t>2/2</t>
        </is>
      </c>
      <c r="D27" s="228" t="inlineStr">
        <is>
          <t>0.58</t>
        </is>
      </c>
      <c r="E27" s="228" t="inlineStr">
        <is>
          <t>样本不足</t>
        </is>
      </c>
      <c r="F27" s="228" t="inlineStr">
        <is>
          <t>看空养殖/银行都对了</t>
        </is>
      </c>
    </row>
    <row r="28" ht="17.15" customHeight="1" s="183">
      <c r="A28" s="228" t="inlineStr">
        <is>
          <t>知乎</t>
        </is>
      </c>
      <c r="B28" s="228" t="inlineStr">
        <is>
          <t>2条</t>
        </is>
      </c>
      <c r="C28" s="228" t="inlineStr">
        <is>
          <t>2/2</t>
        </is>
      </c>
      <c r="D28" s="228" t="inlineStr">
        <is>
          <t>0.58</t>
        </is>
      </c>
      <c r="E28" s="228" t="inlineStr">
        <is>
          <t>样本不足</t>
        </is>
      </c>
      <c r="F28" s="228" t="inlineStr">
        <is>
          <t>看空有色/稀金都对了</t>
        </is>
      </c>
    </row>
    <row r="29" ht="17.15" customHeight="1" s="183">
      <c r="A29" s="228" t="inlineStr">
        <is>
          <t>岩松</t>
        </is>
      </c>
      <c r="B29" s="228" t="inlineStr">
        <is>
          <t>2条</t>
        </is>
      </c>
      <c r="C29" s="228" t="inlineStr">
        <is>
          <t>2/2</t>
        </is>
      </c>
      <c r="D29" s="228" t="inlineStr">
        <is>
          <t>0.58</t>
        </is>
      </c>
      <c r="E29" s="228" t="inlineStr">
        <is>
          <t>样本不足</t>
        </is>
      </c>
      <c r="F29" s="228" t="inlineStr">
        <is>
          <t>看空有色/稀金都对了</t>
        </is>
      </c>
    </row>
    <row r="30" ht="17.15" customHeight="1" s="183">
      <c r="A30" s="228" t="inlineStr">
        <is>
          <t>凯文·沃什</t>
        </is>
      </c>
      <c r="B30" s="228" t="inlineStr">
        <is>
          <t>1条</t>
        </is>
      </c>
      <c r="C30" s="301" t="inlineStr">
        <is>
          <t>0/1</t>
        </is>
      </c>
      <c r="D30" s="228" t="inlineStr">
        <is>
          <t>0.45</t>
        </is>
      </c>
      <c r="E30" s="228" t="inlineStr">
        <is>
          <t>样本不足</t>
        </is>
      </c>
      <c r="F30" s="228" t="inlineStr">
        <is>
          <t>❌ 看空芯片-8pp但芯片涨了16%</t>
        </is>
      </c>
    </row>
    <row r="31" ht="17.15" customHeight="1" s="183">
      <c r="A31" s="228" t="inlineStr">
        <is>
          <t>巴克莱</t>
        </is>
      </c>
      <c r="B31" s="228" t="inlineStr">
        <is>
          <t>1条</t>
        </is>
      </c>
      <c r="C31" s="301" t="inlineStr">
        <is>
          <t>0/1</t>
        </is>
      </c>
      <c r="D31" s="228" t="inlineStr">
        <is>
          <t>0.45</t>
        </is>
      </c>
      <c r="E31" s="228" t="inlineStr">
        <is>
          <t>样本不足</t>
        </is>
      </c>
      <c r="F31" s="228" t="inlineStr">
        <is>
          <t>❌ 看多电池但电池跌了8%</t>
        </is>
      </c>
    </row>
    <row r="32" ht="17.15" customHeight="1" s="183">
      <c r="A32" s="228" t="inlineStr">
        <is>
          <t>AI铜需求</t>
        </is>
      </c>
      <c r="B32" s="228" t="inlineStr">
        <is>
          <t>1条</t>
        </is>
      </c>
      <c r="C32" s="301" t="inlineStr">
        <is>
          <t>0/1</t>
        </is>
      </c>
      <c r="D32" s="228" t="inlineStr">
        <is>
          <t>0.45</t>
        </is>
      </c>
      <c r="E32" s="228" t="inlineStr">
        <is>
          <t>样本不足</t>
        </is>
      </c>
      <c r="F32" s="228" t="inlineStr">
        <is>
          <t>❌ 看多有色但有色跌了10%</t>
        </is>
      </c>
    </row>
    <row r="33" ht="17.15" customHeight="1" s="183">
      <c r="A33" s="228" t="inlineStr">
        <is>
          <t>宋鸿兵</t>
        </is>
      </c>
      <c r="B33" s="228" t="inlineStr">
        <is>
          <t>1条</t>
        </is>
      </c>
      <c r="C33" s="228" t="inlineStr">
        <is>
          <t>1/1</t>
        </is>
      </c>
      <c r="D33" s="228" t="inlineStr">
        <is>
          <t>0.55</t>
        </is>
      </c>
      <c r="E33" s="228" t="inlineStr">
        <is>
          <t>样本不足</t>
        </is>
      </c>
      <c r="F33" s="228" t="inlineStr">
        <is>
          <t>看多芯片对了</t>
        </is>
      </c>
    </row>
    <row r="34" ht="17.15" customHeight="1" s="183">
      <c r="A34" s="228" t="inlineStr">
        <is>
          <t>蒋宇飞</t>
        </is>
      </c>
      <c r="B34" s="228" t="inlineStr">
        <is>
          <t>0条</t>
        </is>
      </c>
      <c r="C34" s="228" t="inlineStr">
        <is>
          <t>0/0</t>
        </is>
      </c>
      <c r="D34" s="228" t="inlineStr">
        <is>
          <t>-</t>
        </is>
      </c>
      <c r="E34" s="228" t="inlineStr">
        <is>
          <t>全虚P</t>
        </is>
      </c>
      <c r="F34" s="228" t="inlineStr">
        <is>
          <t>所有事件都是虚P</t>
        </is>
      </c>
    </row>
    <row r="35" ht="17.15" customHeight="1" s="183">
      <c r="A35" s="228" t="inlineStr">
        <is>
          <t>霍尔木兹→养殖</t>
        </is>
      </c>
      <c r="B35" s="228" t="inlineStr">
        <is>
          <t>0条</t>
        </is>
      </c>
      <c r="C35" s="228" t="inlineStr">
        <is>
          <t>0/0</t>
        </is>
      </c>
      <c r="D35" s="228" t="inlineStr">
        <is>
          <t>-</t>
        </is>
      </c>
      <c r="E35" s="228" t="inlineStr">
        <is>
          <t>全虚P</t>
        </is>
      </c>
      <c r="F35" s="228" t="inlineStr">
        <is>
          <t>传导断了三层</t>
        </is>
      </c>
    </row>
    <row r="37" ht="15" customHeight="1" s="183">
      <c r="A37" s="237" t="inlineStr">
        <is>
          <t>四、下一步行动</t>
        </is>
      </c>
    </row>
    <row r="38" ht="17.15" customHeight="1" s="183">
      <c r="A38" s="224" t="inlineStr">
        <is>
          <t>1. 【立即】养殖P值从70%下调：虚P剔除→66%，再考虑伊娃2/2全错→建议调至55-60%</t>
        </is>
      </c>
    </row>
    <row r="39" ht="17.15" customHeight="1" s="183">
      <c r="A39" s="224" t="inlineStr">
        <is>
          <t>2. 【立即】芯片P值从41%上调：虚P剔除→39%，但漏了存储→芯片资金传导(+5pp)→建议44-48%</t>
        </is>
      </c>
    </row>
    <row r="40" ht="17.15" customHeight="1" s="183">
      <c r="A40" s="224" t="inlineStr">
        <is>
          <t>3. 【持续】每次抓取新事件时，自动分类实P/虚P，虚P不进P值计算</t>
        </is>
      </c>
    </row>
    <row r="41" ht="17.15" customHeight="1" s="183">
      <c r="A41" s="224" t="inlineStr">
        <is>
          <t>4. 【持续】积累信源实P事件，达到3条后自动触发贝叶斯权重校准</t>
        </is>
      </c>
    </row>
    <row r="42" ht="17.15" customHeight="1" s="183">
      <c r="A42" s="224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1" showRowColHeaders="1" showZeros="1" rightToLeft="0" tabSelected="0" showOutlineSymbols="1" defaultGridColor="1" view="normal" topLeftCell="A117" colorId="64" zoomScale="100" zoomScaleNormal="100" zoomScalePageLayoutView="100" workbookViewId="0">
      <selection pane="topLeft" activeCell="A114" activeCellId="0" sqref="A114"/>
    </sheetView>
  </sheetViews>
  <sheetFormatPr baseColWidth="8" defaultColWidth="8.6171875" defaultRowHeight="15" customHeight="0" zeroHeight="0" outlineLevelRow="0"/>
  <cols>
    <col width="140" customWidth="1" style="332" min="1" max="1"/>
  </cols>
  <sheetData>
    <row r="1" ht="21.6" customHeight="1" s="183">
      <c r="A1" s="202" t="inlineStr">
        <is>
          <t>🔬 深度分析报告 (2026-06-06 01:00)</t>
        </is>
      </c>
    </row>
    <row r="3" ht="17.15" customHeight="1" s="183">
      <c r="A3" s="224">
        <f>==============================================================================</f>
        <v/>
      </c>
    </row>
    <row r="4" ht="17.15" customHeight="1" s="183">
      <c r="A4" s="224" t="inlineStr">
        <is>
          <t xml:space="preserve">  持仓贝叶斯P值+赔率 深度分析报告（完整版）</t>
        </is>
      </c>
    </row>
    <row r="5" ht="17.15" customHeight="1" s="183">
      <c r="A5" s="224" t="inlineStr">
        <is>
          <t xml:space="preserve">  生成时间: 2026-06-06 01:00</t>
        </is>
      </c>
    </row>
    <row r="6" ht="17.15" customHeight="1" s="183">
      <c r="A6" s="224" t="inlineStr">
        <is>
          <t xml:space="preserve">  数据源: 天天基金fundgz估值API + 历史净值API + 支付宝基准</t>
        </is>
      </c>
    </row>
    <row r="7" ht="17.15" customHeight="1" s="183">
      <c r="A7" s="224">
        <f>==============================================================================</f>
        <v/>
      </c>
    </row>
    <row r="8" ht="32.8" customHeight="1" s="183">
      <c r="A8" s="224" t="inlineStr">
        <is>
          <t xml:space="preserve">
【一】持仓全景（全部28只基金）</t>
        </is>
      </c>
    </row>
    <row r="9" ht="17.15" customHeight="1" s="183">
      <c r="A9" s="224" t="inlineStr">
        <is>
          <t>--------------------------------------------------------------------------------</t>
        </is>
      </c>
    </row>
    <row r="10" ht="17.15" customHeight="1" s="183">
      <c r="A10" s="224" t="inlineStr">
        <is>
          <t>基金名称                         代码       成本     今日涨跌       净值</t>
        </is>
      </c>
    </row>
    <row r="11" ht="17.15" customHeight="1" s="183">
      <c r="A11" s="224" t="inlineStr">
        <is>
          <t>--------------------------------------------------------------------------------</t>
        </is>
      </c>
    </row>
    <row r="12" ht="17.15" customHeight="1" s="183">
      <c r="A12" s="224" t="inlineStr">
        <is>
          <t xml:space="preserve">  汇添富上证科创板芯片ETF联接A         020628     3206   -4.87%   3.5305</t>
        </is>
      </c>
    </row>
    <row r="13" ht="17.15" customHeight="1" s="183">
      <c r="A13" s="224" t="inlineStr">
        <is>
          <t xml:space="preserve">  南方中证电池主题ETF联接A           018926     6811   -1.88%   1.7183</t>
        </is>
      </c>
    </row>
    <row r="14" ht="17.15" customHeight="1" s="183">
      <c r="A14" s="224" t="inlineStr">
        <is>
          <t xml:space="preserve">  天弘恒生科技ETF联接C             012349     4822   -1.66%   0.6725</t>
        </is>
      </c>
    </row>
    <row r="15" ht="17.15" customHeight="1" s="183">
      <c r="A15" s="224" t="inlineStr">
        <is>
          <t xml:space="preserve">  招商中证畜牧养殖ETF联接C           014415     4432   -0.48%   0.7249</t>
        </is>
      </c>
    </row>
    <row r="16" ht="17.15" customHeight="1" s="183">
      <c r="A16" s="224" t="inlineStr">
        <is>
          <t xml:space="preserve">  南方有色金属ETF联接C             004433     4800   -2.12%   1.8756</t>
        </is>
      </c>
    </row>
    <row r="17" ht="17.15" customHeight="1" s="183">
      <c r="A17" s="224" t="inlineStr">
        <is>
          <t xml:space="preserve">  嘉实中证稀有金属主题ETF联接C         014111     5822   -1.24%   1.0594</t>
        </is>
      </c>
    </row>
    <row r="18" ht="17.15" customHeight="1" s="183">
      <c r="A18" s="224" t="inlineStr">
        <is>
          <t xml:space="preserve">  银行ETF联接C                 001595        -   +1.32%   1.6526</t>
        </is>
      </c>
    </row>
    <row r="19" ht="17.15" customHeight="1" s="183">
      <c r="A19" s="224" t="inlineStr">
        <is>
          <t xml:space="preserve">  景顺长城中证科创创业人工智能ETF        027048      101   -4.08%   1.1090</t>
        </is>
      </c>
    </row>
    <row r="20" ht="17.15" customHeight="1" s="183">
      <c r="A20" s="224" t="inlineStr">
        <is>
          <t xml:space="preserve">  国泰黄金ETF联接A               000218     2787   -0.01%   3.5234</t>
        </is>
      </c>
    </row>
    <row r="21" ht="17.15" customHeight="1" s="183">
      <c r="A21" s="224" t="inlineStr">
        <is>
          <t xml:space="preserve">  博时黄金ETF联接C               002611     3267   -0.01%   3.0625</t>
        </is>
      </c>
    </row>
    <row r="22" ht="17.15" customHeight="1" s="183">
      <c r="A22" s="224" t="inlineStr">
        <is>
          <t xml:space="preserve">  建信上海金ETF联接C              009034     2939   +0.00%   2.2511</t>
        </is>
      </c>
    </row>
    <row r="23" ht="17.15" customHeight="1" s="183">
      <c r="A23" s="224" t="inlineStr">
        <is>
          <t xml:space="preserve">  前海开源金银珠宝混合C              002207     8839   -1.15%   2.5340</t>
        </is>
      </c>
    </row>
    <row r="24" ht="17.15" customHeight="1" s="183">
      <c r="A24" s="224" t="inlineStr">
        <is>
          <t xml:space="preserve">  永赢先进制造智选A                018124        -   +0.74%   2.4177</t>
        </is>
      </c>
    </row>
    <row r="25" ht="17.15" customHeight="1" s="183">
      <c r="A25" s="224" t="inlineStr">
        <is>
          <t xml:space="preserve">  嘉实自由现金流联接C               024575        -   -0.62%   1.1112</t>
        </is>
      </c>
    </row>
    <row r="26" ht="17.15" customHeight="1" s="183">
      <c r="A26" s="224" t="inlineStr">
        <is>
          <t xml:space="preserve">  华宝纳斯达克精选QA               017436        -   -0.28%   2.5059</t>
        </is>
      </c>
    </row>
    <row r="27" ht="17.15" customHeight="1" s="183">
      <c r="A27" s="224" t="inlineStr">
        <is>
          <t xml:space="preserve">  华宝有色联接C                  017141        -   -2.14%   1.6717</t>
        </is>
      </c>
    </row>
    <row r="28" ht="17.15" customHeight="1" s="183">
      <c r="A28" s="224" t="inlineStr">
        <is>
          <t xml:space="preserve">  景顺招利6月债券A                010011        -   -0.20%   1.3247</t>
        </is>
      </c>
    </row>
    <row r="29" ht="17.15" customHeight="1" s="183">
      <c r="A29" s="224" t="inlineStr">
        <is>
          <t xml:space="preserve">  汇添富鑫享添利6月A               012951        -   -0.13%   1.1815</t>
        </is>
      </c>
    </row>
    <row r="30" ht="17.15" customHeight="1" s="183">
      <c r="A30" s="224" t="inlineStr">
        <is>
          <t xml:space="preserve">  永赢医药创新A                  015915        -   -1.17%   1.4207</t>
        </is>
      </c>
    </row>
    <row r="31" ht="17.15" customHeight="1" s="183">
      <c r="A31" s="224" t="inlineStr">
        <is>
          <t xml:space="preserve">  广发碳中和混合C                 018419        -   -2.25%   1.9262</t>
        </is>
      </c>
    </row>
    <row r="32" ht="17.15" customHeight="1" s="183">
      <c r="A32" s="224" t="inlineStr">
        <is>
          <t xml:space="preserve">  天弘绿色电力C                  017175        -   -3.68%   1.2385</t>
        </is>
      </c>
    </row>
    <row r="33" ht="17.15" customHeight="1" s="183">
      <c r="A33" s="224" t="inlineStr">
        <is>
          <t xml:space="preserve">  摩根日本精选QC                 019449        -      N/A      N/A</t>
        </is>
      </c>
    </row>
    <row r="34" ht="17.15" customHeight="1" s="183">
      <c r="A34" s="224" t="inlineStr">
        <is>
          <t xml:space="preserve">  华宝海外科技QA                 501312        -   +0.00%   2.4162</t>
        </is>
      </c>
    </row>
    <row r="35" ht="17.15" customHeight="1" s="183">
      <c r="A35" s="224" t="inlineStr">
        <is>
          <t xml:space="preserve">  摩根日本精选QA                 007280        -      N/A      N/A</t>
        </is>
      </c>
    </row>
    <row r="36" ht="17.15" customHeight="1" s="183">
      <c r="A36" s="224" t="inlineStr">
        <is>
          <t xml:space="preserve">  港股通互联网联接A                027127        -   -0.32%   1.0106</t>
        </is>
      </c>
    </row>
    <row r="37" ht="17.15" customHeight="1" s="183">
      <c r="A37" s="224" t="inlineStr">
        <is>
          <t xml:space="preserve">  广发全球精选QDIIC              021277        -   -0.17%   6.7843</t>
        </is>
      </c>
    </row>
    <row r="38" ht="17.15" customHeight="1" s="183">
      <c r="A38" s="224" t="inlineStr">
        <is>
          <t xml:space="preserve">  平安先进制造C                  019458        -   +1.66%   1.8590</t>
        </is>
      </c>
    </row>
    <row r="39" ht="17.15" customHeight="1" s="183">
      <c r="A39" s="224" t="inlineStr">
        <is>
          <t xml:space="preserve">  大成有色期货联接C                007911        -      N/A      N/A</t>
        </is>
      </c>
    </row>
    <row r="40" ht="32.8" customHeight="1" s="183">
      <c r="A40" s="224" t="inlineStr">
        <is>
          <t xml:space="preserve">
  追踪持仓总市值: 29716元  总盈亏: -278元</t>
        </is>
      </c>
    </row>
    <row r="41" ht="32.8" customHeight="1" s="183">
      <c r="A41" s="224" t="inlineStr">
        <is>
          <t xml:space="preserve">
【二】信源深度核查（25条事件×价格传导验证）</t>
        </is>
      </c>
    </row>
    <row r="42" ht="17.15" customHeight="1" s="183">
      <c r="A42" s="224">
        <f>==============================================================================</f>
        <v/>
      </c>
    </row>
    <row r="43" ht="32.8" customHeight="1" s="183">
      <c r="A43" s="224" t="inlineStr">
        <is>
          <t xml:space="preserve">
信源             持仓     PP 事件                     1天     3天     5天    10天   最优lag 方向</t>
        </is>
      </c>
    </row>
    <row r="44" ht="17.15" customHeight="1" s="183">
      <c r="A44" s="224" t="inlineStr">
        <is>
          <t>------------------------------------------------------------------------------------------</t>
        </is>
      </c>
    </row>
    <row r="45" ht="17.15" customHeight="1" s="183">
      <c r="A45" s="224" t="inlineStr">
        <is>
          <t xml:space="preserve">  宋鸿兵            芯片    +3pp 摩尔定律极限+堆叠崛起         -3.3%  +0.4%  +3.6%  +4.9%      7天 ✅</t>
        </is>
      </c>
    </row>
    <row r="46" ht="17.15" customHeight="1" s="183">
      <c r="A46" s="224" t="inlineStr">
        <is>
          <t xml:space="preserve">  蒋宇飞            芯片    +2pp AI基建10年+国产算力        -2.2%  +9.6%  +9.9%  +3.8%      6天 ✅</t>
        </is>
      </c>
    </row>
    <row r="47" ht="17.15" customHeight="1" s="183">
      <c r="A47" s="224" t="inlineStr">
        <is>
          <t xml:space="preserve">  蒋宇飞            芯片    +1pp 玻璃基板万亿机遇            -6.2%  -3.3% -10.8% -11.5%     N/A ?</t>
        </is>
      </c>
    </row>
    <row r="48" ht="17.15" customHeight="1" s="183">
      <c r="A48" s="224" t="inlineStr">
        <is>
          <t xml:space="preserve">  付鹏             芯片    +2pp 存储=AI基建               N/A    N/A    N/A    N/A     N/A ?</t>
        </is>
      </c>
    </row>
    <row r="49" ht="17.15" customHeight="1" s="183">
      <c r="A49" s="224" t="inlineStr">
        <is>
          <t xml:space="preserve">  Schiff+周鸿祎     芯片    +1pp 美债熊市+内存决定高度         -2.3%  +2.3%  -5.8%  -7.8%      3天 ✅</t>
        </is>
      </c>
    </row>
    <row r="50" ht="17.15" customHeight="1" s="183">
      <c r="A50" s="224" t="inlineStr">
        <is>
          <t xml:space="preserve">  凯文·沃什          芯片    -8pp 就任美联储→利率风暴          -1.8%  -1.3%  -5.5% -10.4%     20天 ✅</t>
        </is>
      </c>
    </row>
    <row r="51" ht="17.15" customHeight="1" s="183">
      <c r="A51" s="224" t="inlineStr">
        <is>
          <t xml:space="preserve">  韩国闪崩           芯片    -2pp 韩国股市闪崩情绪            -3.6%  -2.7%  -3.2% -13.5%     20天 ✅</t>
        </is>
      </c>
    </row>
    <row r="52" ht="17.15" customHeight="1" s="183">
      <c r="A52" s="224" t="inlineStr">
        <is>
          <t xml:space="preserve">  雪佛龙            电池    +6pp 油价危机OECD红线          +1.1%  +2.1%  +5.4%  +7.7%     20天 ✅</t>
        </is>
      </c>
    </row>
    <row r="53" ht="17.15" customHeight="1" s="183">
      <c r="A53" s="224" t="inlineStr">
        <is>
          <t xml:space="preserve">  巴克莱            电池    +5pp 碳酸锂跌价+巴克莱看多         -0.1%  -1.9%  +0.8%  +0.2%      9天 ✅</t>
        </is>
      </c>
    </row>
    <row r="54" ht="17.15" customHeight="1" s="183">
      <c r="A54" s="224" t="inlineStr">
        <is>
          <t xml:space="preserve">  恩捷+特朗普         电池    +5pp 特朗普访华+恩捷40亿扩产       -0.6%  -0.2%  +2.4%  -4.1%      5天 ✅</t>
        </is>
      </c>
    </row>
    <row r="55" ht="17.15" customHeight="1" s="183">
      <c r="A55" s="224" t="inlineStr">
        <is>
          <t xml:space="preserve">  维力能            电池    +2pp 储能全球第二              +0.3%  +4.1%  +3.7%  +3.8%     19天 ✅</t>
        </is>
      </c>
    </row>
    <row r="56" ht="17.15" customHeight="1" s="183">
      <c r="A56" s="224" t="inlineStr">
        <is>
          <t xml:space="preserve">  付鹏             恒科    -3pp 恒科套利闭环不可持续          -4.3%  -5.5%  -4.4%  -5.9%      8天 ✅</t>
        </is>
      </c>
    </row>
    <row r="57" ht="17.15" customHeight="1" s="183">
      <c r="A57" s="224" t="inlineStr">
        <is>
          <t xml:space="preserve">  付鹏+古都闲云        恒科    -4pp 港股偏弱+社消疲弱           -0.2%  +4.3%  +4.2%  +0.6%     12天 ✅</t>
        </is>
      </c>
    </row>
    <row r="58" ht="17.15" customHeight="1" s="183">
      <c r="A58" s="224" t="inlineStr">
        <is>
          <t xml:space="preserve">  伊娃             养殖    +1pp 仔猪价格硬挺420元          +1.1%  +1.7%  +2.6%  +6.8%     20天 ✅</t>
        </is>
      </c>
    </row>
    <row r="59" ht="17.15" customHeight="1" s="183">
      <c r="A59" s="224" t="inlineStr">
        <is>
          <t xml:space="preserve">  伊娃             养殖    +5pp 17/18猪企亏损→去产能       -0.6%  +0.6%  +3.3%  +6.2%     14天 ✅</t>
        </is>
      </c>
    </row>
    <row r="60" ht="17.15" customHeight="1" s="183">
      <c r="A60" s="224" t="inlineStr">
        <is>
          <t xml:space="preserve">  霍尔木兹           养殖    +9pp 霍尔木兹通航→利好养殖           N/A    N/A    N/A    N/A     N/A ?</t>
        </is>
      </c>
    </row>
    <row r="61" ht="17.15" customHeight="1" s="183">
      <c r="A61" s="224" t="inlineStr">
        <is>
          <t xml:space="preserve">  无知半人           养殖    -2pp 住户贷款-4902亿          +0.6%  +3.3%  +5.6%  +7.5%     N/A ?</t>
        </is>
      </c>
    </row>
    <row r="62" ht="17.15" customHeight="1" s="183">
      <c r="A62" s="224" t="inlineStr">
        <is>
          <t xml:space="preserve">  古都闲云           养殖    -2pp 社消数据疲弱              -0.1%  +3.0%  +2.8%  +5.8%      1天 ✅</t>
        </is>
      </c>
    </row>
    <row r="63" ht="17.15" customHeight="1" s="183">
      <c r="A63" s="224" t="inlineStr">
        <is>
          <t xml:space="preserve">  知乎             有色    -5pp 301关税+欧盟钢铁关税        -0.8%  -3.2%  -1.2%  -2.2%      9天 ✅</t>
        </is>
      </c>
    </row>
    <row r="64" ht="17.15" customHeight="1" s="183">
      <c r="A64" s="224" t="inlineStr">
        <is>
          <t xml:space="preserve">  岩松             有色    -2pp 资源非长期抗通胀            +1.3%  +7.1% +10.0%  +6.5%     N/A ?</t>
        </is>
      </c>
    </row>
    <row r="65" ht="17.15" customHeight="1" s="183">
      <c r="A65" s="224" t="inlineStr">
        <is>
          <t xml:space="preserve">  AI铜需求          有色    +4pp AI铜需求爆发             -3.4%  -1.6%  +1.1%  +9.0%      7天 ✅</t>
        </is>
      </c>
    </row>
    <row r="66" ht="17.15" customHeight="1" s="183">
      <c r="A66" s="224" t="inlineStr">
        <is>
          <t xml:space="preserve">  知乎             稀金    -3pp 贸易利空稀土              -1.7%  -1.6%  -0.0%  +0.5%      2天 ✅</t>
        </is>
      </c>
    </row>
    <row r="67" ht="17.15" customHeight="1" s="183">
      <c r="A67" s="224" t="inlineStr">
        <is>
          <t xml:space="preserve">  岩松             稀金    -5pp 资源非长期抗通胀            +2.7%  +6.0% +10.0%  +8.6%     N/A ?</t>
        </is>
      </c>
    </row>
    <row r="68" ht="17.15" customHeight="1" s="183">
      <c r="A68" s="224" t="inlineStr">
        <is>
          <t xml:space="preserve">  付鹏             银行    -2pp 去杠杆周期不利             -0.6%  -3.3%  -2.4%  -1.8%      3天 ✅</t>
        </is>
      </c>
    </row>
    <row r="69" ht="17.15" customHeight="1" s="183">
      <c r="A69" s="224" t="inlineStr">
        <is>
          <t xml:space="preserve">  无知半人           银行    -3pp 住户贷款-4902亿          +0.2%  +0.9%  +1.4%  +2.0%      2天 ✅</t>
        </is>
      </c>
    </row>
    <row r="70" ht="32.8" customHeight="1" s="183">
      <c r="A70" s="224" t="inlineStr">
        <is>
          <t xml:space="preserve">
【三】信源权重校准（Spearman秩相关）</t>
        </is>
      </c>
    </row>
    <row r="71" ht="17.15" customHeight="1" s="183">
      <c r="A71" s="224">
        <f>==============================================================================</f>
        <v/>
      </c>
    </row>
    <row r="72" ht="17.15" customHeight="1" s="183">
      <c r="A72" s="224" t="inlineStr">
        <is>
          <t xml:space="preserve">  AI铜需求→有色: n=1 方向100% 样本不足→权重=1.0 lag=['7天']</t>
        </is>
      </c>
    </row>
    <row r="73" ht="17.15" customHeight="1" s="183">
      <c r="A73" s="224" t="inlineStr">
        <is>
          <t xml:space="preserve">  Schiff+周鸿祎→芯片: n=1 方向100% 样本不足→权重=1.0 lag=['3天']</t>
        </is>
      </c>
    </row>
    <row r="74" ht="17.15" customHeight="1" s="183">
      <c r="A74" s="224" t="inlineStr">
        <is>
          <t xml:space="preserve">  付鹏+古都闲云→恒科: n=1 方向100% 样本不足→权重=1.0 lag=['12天']</t>
        </is>
      </c>
    </row>
    <row r="75" ht="17.15" customHeight="1" s="183">
      <c r="A75" s="224" t="inlineStr">
        <is>
          <t xml:space="preserve">  付鹏→恒科: n=1 方向100% 样本不足→权重=1.0 lag=['8天']</t>
        </is>
      </c>
    </row>
    <row r="76" ht="17.15" customHeight="1" s="183">
      <c r="A76" s="224" t="inlineStr">
        <is>
          <t xml:space="preserve">  付鹏→银行: n=1 方向100% 样本不足→权重=1.0 lag=['3天']</t>
        </is>
      </c>
    </row>
    <row r="77" ht="17.15" customHeight="1" s="183">
      <c r="A77" s="224" t="inlineStr">
        <is>
          <t xml:space="preserve">  伊娃→养殖: n=2 方向100% ρ=-1.000 权重=-0.50 lag=['20天', '14天']</t>
        </is>
      </c>
    </row>
    <row r="78" ht="17.15" customHeight="1" s="183">
      <c r="A78" s="224" t="inlineStr">
        <is>
          <t xml:space="preserve">  凯文·沃什→芯片: n=1 方向100% 样本不足→权重=1.0 lag=['20天']</t>
        </is>
      </c>
    </row>
    <row r="79" ht="17.15" customHeight="1" s="183">
      <c r="A79" s="224" t="inlineStr">
        <is>
          <t xml:space="preserve">  古都闲云→养殖: n=1 方向100% 样本不足→权重=1.0 lag=['1天']</t>
        </is>
      </c>
    </row>
    <row r="80" ht="17.15" customHeight="1" s="183">
      <c r="A80" s="224" t="inlineStr">
        <is>
          <t xml:space="preserve">  宋鸿兵→芯片: n=1 方向100% 样本不足→权重=1.0 lag=['7天']</t>
        </is>
      </c>
    </row>
    <row r="81" ht="17.15" customHeight="1" s="183">
      <c r="A81" s="224" t="inlineStr">
        <is>
          <t xml:space="preserve">  巴克莱→电池: n=1 方向100% 样本不足→权重=1.0 lag=['9天']</t>
        </is>
      </c>
    </row>
    <row r="82" ht="17.15" customHeight="1" s="183">
      <c r="A82" s="224" t="inlineStr">
        <is>
          <t xml:space="preserve">  恩捷+特朗普→电池: n=1 方向100% 样本不足→权重=1.0 lag=['5天']</t>
        </is>
      </c>
    </row>
    <row r="83" ht="17.15" customHeight="1" s="183">
      <c r="A83" s="224" t="inlineStr">
        <is>
          <t xml:space="preserve">  无知半人→银行: n=1 方向100% 样本不足→权重=1.0 lag=['2天']</t>
        </is>
      </c>
    </row>
    <row r="84" ht="17.15" customHeight="1" s="183">
      <c r="A84" s="224" t="inlineStr">
        <is>
          <t xml:space="preserve">  知乎→有色: n=1 方向100% 样本不足→权重=1.0 lag=['9天']</t>
        </is>
      </c>
    </row>
    <row r="85" ht="17.15" customHeight="1" s="183">
      <c r="A85" s="224" t="inlineStr">
        <is>
          <t xml:space="preserve">  知乎→稀金: n=1 方向100% 样本不足→权重=1.0 lag=['2天']</t>
        </is>
      </c>
    </row>
    <row r="86" ht="17.15" customHeight="1" s="183">
      <c r="A86" s="224" t="inlineStr">
        <is>
          <t xml:space="preserve">  维力能→电池: n=1 方向100% 样本不足→权重=1.0 lag=['19天']</t>
        </is>
      </c>
    </row>
    <row r="87" ht="17.15" customHeight="1" s="183">
      <c r="A87" s="224" t="inlineStr">
        <is>
          <t xml:space="preserve">  蒋宇飞→芯片: n=1 方向100% 样本不足→权重=1.0 lag=['6天']</t>
        </is>
      </c>
    </row>
    <row r="88" ht="17.15" customHeight="1" s="183">
      <c r="A88" s="224" t="inlineStr">
        <is>
          <t xml:space="preserve">  雪佛龙→电池: n=1 方向100% 样本不足→权重=1.0 lag=['20天']</t>
        </is>
      </c>
    </row>
    <row r="89" ht="17.15" customHeight="1" s="183">
      <c r="A89" s="224" t="inlineStr">
        <is>
          <t xml:space="preserve">  韩国闪崩→芯片: n=1 方向100% 样本不足→权重=1.0 lag=['20天']</t>
        </is>
      </c>
    </row>
    <row r="90" ht="32.8" customHeight="1" s="183">
      <c r="A90" s="224" t="inlineStr">
        <is>
          <t xml:space="preserve">
【四】P值校准结果</t>
        </is>
      </c>
    </row>
    <row r="91" ht="17.15" customHeight="1" s="183">
      <c r="A91" s="224">
        <f>==============================================================================</f>
        <v/>
      </c>
    </row>
    <row r="92" ht="32.8" customHeight="1" s="183">
      <c r="A92" s="224" t="inlineStr">
        <is>
          <t xml:space="preserve">
持仓        原P    校准PP    校准P    拟合     20日      持有 诊断</t>
        </is>
      </c>
    </row>
    <row r="93" ht="17.15" customHeight="1" s="183">
      <c r="A93" s="224" t="inlineStr">
        <is>
          <t>--------------------------------------------------------------------------------</t>
        </is>
      </c>
    </row>
    <row r="94" ht="17.15" customHeight="1" s="183">
      <c r="A94" s="224" t="inlineStr">
        <is>
          <t xml:space="preserve">  芯片      41%   -1.0pp  49.0%   97分  -14.3%   +3.9% 利率-8pp被AI覆盖;漏存储→资金传导事件</t>
        </is>
      </c>
    </row>
    <row r="95" ht="17.15" customHeight="1" s="183">
      <c r="A95" s="224" t="inlineStr">
        <is>
          <t xml:space="preserve">  电池      65%  +18.0pp  68.0%   97分   -8.1%   +6.0% 拟合97分可靠;短期回调中</t>
        </is>
      </c>
    </row>
    <row r="96" ht="17.15" customHeight="1" s="183">
      <c r="A96" s="224" t="inlineStr">
        <is>
          <t xml:space="preserve">  恒科      27%   -7.0pp  43.0%   75分   -3.4%   -6.0% 拟合75分方向对;悲观但合理</t>
        </is>
      </c>
    </row>
    <row r="97" ht="17.15" customHeight="1" s="183">
      <c r="A97" s="224" t="inlineStr">
        <is>
          <t xml:space="preserve">  养殖      70%   +2.0pp  52.0%   95分  -14.3%  -12.5% 拟合95分但霍尔木兹+9pp强度过高</t>
        </is>
      </c>
    </row>
    <row r="98" ht="17.15" customHeight="1" s="183">
      <c r="A98" s="224" t="inlineStr">
        <is>
          <t xml:space="preserve">  有色      39%   -3.0pp  47.0%    0分  -10.7%   -0.4% 拟合0分样本少</t>
        </is>
      </c>
    </row>
    <row r="99" ht="17.15" customHeight="1" s="183">
      <c r="A99" s="224" t="inlineStr">
        <is>
          <t xml:space="preserve">  稀金      40%   -8.0pp  42.0%    0分   +0.0%   +0.8% 拟合0分样本少</t>
        </is>
      </c>
    </row>
    <row r="100" ht="17.15" customHeight="1" s="183">
      <c r="A100" s="224" t="inlineStr">
        <is>
          <t xml:space="preserve">  银行      47%   -5.0pp  45.0%   53分   -1.4%   +0.0% 拟合53分一般</t>
        </is>
      </c>
    </row>
    <row r="101" ht="32.8" customHeight="1" s="183">
      <c r="A101" s="224" t="inlineStr">
        <is>
          <t xml:space="preserve">
【五】赔率 + 正期望（核心决策指标）</t>
        </is>
      </c>
    </row>
    <row r="102" ht="17.15" customHeight="1" s="183">
      <c r="A102" s="224">
        <f>==============================================================================</f>
        <v/>
      </c>
    </row>
    <row r="103" ht="32.8" customHeight="1" s="183">
      <c r="A103" s="224" t="inlineStr">
        <is>
          <t xml:space="preserve">
持仓        P值     赔率    正期望     下行风险     上行空间 操作</t>
        </is>
      </c>
    </row>
    <row r="104" ht="17.15" customHeight="1" s="183">
      <c r="A104" s="224" t="inlineStr">
        <is>
          <t>--------------------------------------------------------------------------------</t>
        </is>
      </c>
    </row>
    <row r="105" ht="17.15" customHeight="1" s="183">
      <c r="A105" s="224" t="inlineStr">
        <is>
          <t xml:space="preserve">  芯片    49.0%   7.4:1  3.64     8.1%    60.1% ✅持有</t>
        </is>
      </c>
    </row>
    <row r="106" ht="17.15" customHeight="1" s="183">
      <c r="A106" s="224" t="inlineStr">
        <is>
          <t xml:space="preserve">  电池    68.0%  14.4:1  9.77     3.6%    51.9% ✅持有</t>
        </is>
      </c>
    </row>
    <row r="107" ht="17.15" customHeight="1" s="183">
      <c r="A107" s="224" t="inlineStr">
        <is>
          <t xml:space="preserve">  恒科    43.0%   4.4:1  1.88     5.4%    23.6% ✅持有</t>
        </is>
      </c>
    </row>
    <row r="108" ht="17.15" customHeight="1" s="183">
      <c r="A108" s="224" t="inlineStr">
        <is>
          <t xml:space="preserve">  养殖    52.0%   5.2:1  2.72     3.6%    18.6% ✅持有</t>
        </is>
      </c>
    </row>
    <row r="109" ht="17.15" customHeight="1" s="183">
      <c r="A109" s="224" t="inlineStr">
        <is>
          <t xml:space="preserve">  有色    47.0%   3.4:1  1.61     7.2%    24.6% ✅持有</t>
        </is>
      </c>
    </row>
    <row r="110" ht="17.15" customHeight="1" s="183">
      <c r="A110" s="224" t="inlineStr">
        <is>
          <t xml:space="preserve">  稀金    42.0%   2.8:1  1.18     7.8%    22.0% ⚠️观察</t>
        </is>
      </c>
    </row>
    <row r="111" ht="17.15" customHeight="1" s="183">
      <c r="A111" s="224" t="inlineStr">
        <is>
          <t xml:space="preserve">  银行    45.0%   2.4:1  1.07     2.5%     6.0% ⚠️观察</t>
        </is>
      </c>
    </row>
    <row r="112" ht="32.8" customHeight="1" s="183">
      <c r="A112" s="224" t="inlineStr">
        <is>
          <t xml:space="preserve">
【六】跨品种传导矩阵（AI发现的隐藏信息）</t>
        </is>
      </c>
    </row>
    <row r="113" ht="17.15" customHeight="1" s="183">
      <c r="A113" s="224">
        <f>==============================================================================</f>
        <v/>
      </c>
    </row>
    <row r="114" ht="424.6" customHeight="1" s="183">
      <c r="A114" s="224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 ht="17.15" customHeight="1" s="183">
      <c r="A115" s="224" t="inlineStr">
        <is>
          <t xml:space="preserve">
【七】操作建议（基于P值×赔率正期望）</t>
        </is>
      </c>
    </row>
    <row r="116" ht="17.15" customHeight="1" s="183">
      <c r="A116" s="224">
        <f>==============================================================================</f>
        <v/>
      </c>
    </row>
    <row r="117" ht="48.5" customHeight="1" s="183">
      <c r="A117" s="224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 ht="32.8" customHeight="1" s="183">
      <c r="A118" s="224" t="inlineStr">
        <is>
          <t xml:space="preserve">
【八】机制固化说明</t>
        </is>
      </c>
    </row>
    <row r="119" ht="17.15" customHeight="1" s="183">
      <c r="A119" s="224">
        <f>==============================================================================</f>
        <v/>
      </c>
    </row>
    <row r="120" ht="32.8" customHeight="1" s="183">
      <c r="A120" s="224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9" activeCellId="0" sqref="A9"/>
    </sheetView>
  </sheetViews>
  <sheetFormatPr baseColWidth="8" defaultColWidth="8.6171875" defaultRowHeight="15" customHeight="0" zeroHeight="0" outlineLevelRow="0"/>
  <cols>
    <col width="22" customWidth="1" style="332" min="1" max="1"/>
    <col width="14" customWidth="1" style="332" min="2" max="2"/>
    <col width="45" customWidth="1" style="332" min="3" max="3"/>
    <col width="14" customWidth="1" style="332" min="4" max="4"/>
    <col width="18" customWidth="1" style="332" min="5" max="5"/>
    <col width="12" customWidth="1" style="332" min="6" max="6"/>
    <col width="20" customWidth="1" style="332" min="7" max="7"/>
  </cols>
  <sheetData>
    <row r="1" ht="20.1" customHeight="1" s="183">
      <c r="A1" s="302" t="inlineStr">
        <is>
          <t>⚙️ 系统机制完整索引</t>
        </is>
      </c>
      <c r="B1" s="198" t="n"/>
      <c r="C1" s="198" t="n"/>
      <c r="D1" s="198" t="n"/>
      <c r="E1" s="198" t="n"/>
      <c r="F1" s="198" t="n"/>
      <c r="G1" s="199" t="n"/>
    </row>
    <row r="2" ht="15" customHeight="1" s="183">
      <c r="A2" s="303" t="inlineStr">
        <is>
          <t>字段说明：机制名 | 触发词 | 功能说明 | 输入 | 输出 | 频率 | 关联机制</t>
        </is>
      </c>
      <c r="B2" s="198" t="n"/>
      <c r="C2" s="198" t="n"/>
      <c r="D2" s="198" t="n"/>
      <c r="E2" s="198" t="n"/>
      <c r="F2" s="198" t="n"/>
      <c r="G2" s="199" t="n"/>
    </row>
    <row r="4" ht="17.15" customHeight="1" s="183">
      <c r="A4" s="313" t="inlineStr">
        <is>
          <t>A类：投资核心机制</t>
        </is>
      </c>
      <c r="B4" s="198" t="n"/>
      <c r="C4" s="198" t="n"/>
      <c r="D4" s="198" t="n"/>
      <c r="E4" s="198" t="n"/>
      <c r="F4" s="198" t="n"/>
      <c r="G4" s="199" t="n"/>
    </row>
    <row r="5" ht="29.85" customHeight="1" s="183">
      <c r="A5" s="309" t="inlineStr">
        <is>
          <t>P值三层次体系</t>
        </is>
      </c>
      <c r="B5" s="310" t="inlineStr">
        <is>
          <t>内置规则</t>
        </is>
      </c>
      <c r="C5" s="310" t="inlineStr">
        <is>
          <t>主P(事实事件)→虚P(观点预测)→利率折价→有效P。P值系统的宪法。</t>
        </is>
      </c>
      <c r="D5" s="304" t="inlineStr">
        <is>
          <t>事件数据</t>
        </is>
      </c>
      <c r="E5" s="304" t="inlineStr">
        <is>
          <t>有效P值</t>
        </is>
      </c>
      <c r="F5" s="304" t="inlineStr">
        <is>
          <t>每次事件更新</t>
        </is>
      </c>
      <c r="G5" s="304" t="inlineStr">
        <is>
          <t>→盈亏比→机会成本</t>
        </is>
      </c>
    </row>
    <row r="6" ht="17.15" customHeight="1" s="183">
      <c r="A6" s="312" t="inlineStr">
        <is>
          <t>盈亏比计算</t>
        </is>
      </c>
      <c r="B6" s="310" t="inlineStr">
        <is>
          <t>内置规则</t>
        </is>
      </c>
      <c r="C6" s="310" t="inlineStr">
        <is>
          <t>确定性空间+溢价空间×P打折÷下行极限。决定是否值得做。</t>
        </is>
      </c>
      <c r="D6" s="305" t="inlineStr">
        <is>
          <t>P值+空间估计</t>
        </is>
      </c>
      <c r="E6" s="304" t="inlineStr">
        <is>
          <t>盈亏比数值</t>
        </is>
      </c>
      <c r="F6" s="304" t="inlineStr">
        <is>
          <t>按需</t>
        </is>
      </c>
      <c r="G6" s="305" t="inlineStr">
        <is>
          <t>←P值体系→机会成本</t>
        </is>
      </c>
    </row>
    <row r="7" ht="29.85" customHeight="1" s="183">
      <c r="A7" s="309" t="inlineStr">
        <is>
          <t>P值vs价格拟合分析</t>
        </is>
      </c>
      <c r="B7" s="311" t="inlineStr">
        <is>
          <t>"跑P值拟合"</t>
        </is>
      </c>
      <c r="C7" s="310" t="inlineStr">
        <is>
          <t>六维度综合评分(Spearman+Pearson+Kendall+事件驱动+方向一致+回归斜率)验证P值准确性。</t>
        </is>
      </c>
      <c r="D7" s="305" t="inlineStr">
        <is>
          <t>P值序列+价格数据</t>
        </is>
      </c>
      <c r="E7" s="304" t="inlineStr">
        <is>
          <t>拟合分析Sheet+评分</t>
        </is>
      </c>
      <c r="F7" s="304" t="inlineStr">
        <is>
          <t>每7天自动</t>
        </is>
      </c>
      <c r="G7" s="304" t="inlineStr">
        <is>
          <t>→信源评分→门控</t>
        </is>
      </c>
    </row>
    <row r="8" ht="29.85" customHeight="1" s="183">
      <c r="A8" s="312" t="inlineStr">
        <is>
          <t>持仓盈亏联动</t>
        </is>
      </c>
      <c r="B8" s="311" t="inlineStr">
        <is>
          <t>"跑盈亏联动"</t>
        </is>
      </c>
      <c r="C8" s="311" t="inlineStr">
        <is>
          <t>P值预测方向×事件链推导方向×实际价格走势三维一致性检验。</t>
        </is>
      </c>
      <c r="D8" s="305" t="inlineStr">
        <is>
          <t>Excel P值+基金净值+事件链</t>
        </is>
      </c>
      <c r="E8" s="304" t="inlineStr">
        <is>
          <t>持仓盈亏联动Sheet+邮件</t>
        </is>
      </c>
      <c r="F8" s="304" t="inlineStr">
        <is>
          <t>每次更新后</t>
        </is>
      </c>
      <c r="G8" s="305" t="inlineStr">
        <is>
          <t>←P值→机会成本</t>
        </is>
      </c>
    </row>
    <row r="9" ht="29.85" customHeight="1" s="183">
      <c r="A9" s="312" t="inlineStr">
        <is>
          <t>机会成本比较</t>
        </is>
      </c>
      <c r="B9" s="311" t="inlineStr">
        <is>
          <t>"看机会成本"</t>
        </is>
      </c>
      <c r="C9" s="310" t="inlineStr">
        <is>
          <t>所有投资选项(持仓加仓/新机会/现金)放一个池子，用P×R排序决定现金分配。</t>
        </is>
      </c>
      <c r="D9" s="305" t="inlineStr">
        <is>
          <t>P值+预估收益率</t>
        </is>
      </c>
      <c r="E9" s="304" t="inlineStr">
        <is>
          <t>机会成本排序Sheet</t>
        </is>
      </c>
      <c r="F9" s="304" t="inlineStr">
        <is>
          <t>每次监控后</t>
        </is>
      </c>
      <c r="G9" s="305" t="inlineStr">
        <is>
          <t>←P值←盈亏比</t>
        </is>
      </c>
    </row>
    <row r="10" ht="29.85" customHeight="1" s="183">
      <c r="A10" s="312" t="inlineStr">
        <is>
          <t>资金分配交叉审核</t>
        </is>
      </c>
      <c r="B10" s="311" t="inlineStr">
        <is>
          <t>"资金怎么分"</t>
        </is>
      </c>
      <c r="C10" s="311" t="inlineStr">
        <is>
          <t>Hermes出初稿→小龙虾审→Hermes反审→联合结论。多轮交叉提问。</t>
        </is>
      </c>
      <c r="D10" s="304" t="inlineStr">
        <is>
          <t>持仓数据+P值+现金量</t>
        </is>
      </c>
      <c r="E10" s="304" t="inlineStr">
        <is>
          <t>资金分配方案+审核记录</t>
        </is>
      </c>
      <c r="F10" s="304" t="inlineStr">
        <is>
          <t>按需(大额决策)</t>
        </is>
      </c>
      <c r="G10" s="304" t="inlineStr">
        <is>
          <t>←机会成本</t>
        </is>
      </c>
    </row>
    <row r="11" ht="29.85" customHeight="1" s="183">
      <c r="A11" s="312" t="inlineStr">
        <is>
          <t>买入触发条件模板</t>
        </is>
      </c>
      <c r="B11" s="310" t="inlineStr">
        <is>
          <t>内置规则</t>
        </is>
      </c>
      <c r="C11" s="310" t="inlineStr">
        <is>
          <t>各类资产的通用买入信号模板(右侧/左侧/HALO各有不同触发条件)。</t>
        </is>
      </c>
      <c r="D11" s="304" t="inlineStr">
        <is>
          <t>品种类型</t>
        </is>
      </c>
      <c r="E11" s="304" t="inlineStr">
        <is>
          <t>触发条件清单</t>
        </is>
      </c>
      <c r="F11" s="304" t="inlineStr">
        <is>
          <t>按需</t>
        </is>
      </c>
      <c r="G11" s="304" t="inlineStr">
        <is>
          <t>←三类操盘框架</t>
        </is>
      </c>
    </row>
    <row r="12" ht="29.85" customHeight="1" s="183">
      <c r="A12" s="312" t="inlineStr">
        <is>
          <t>三类操盘框架</t>
        </is>
      </c>
      <c r="B12" s="310" t="inlineStr">
        <is>
          <t>内置规则</t>
        </is>
      </c>
      <c r="C12" s="310" t="inlineStr">
        <is>
          <t>右侧(等信号确认)/左侧(低估值慢慢拿)/HALO(方向性看看不做)。决定操作节奏。</t>
        </is>
      </c>
      <c r="D12" s="304" t="inlineStr">
        <is>
          <t>品种特征</t>
        </is>
      </c>
      <c r="E12" s="304" t="inlineStr">
        <is>
          <t>分类+操作原则</t>
        </is>
      </c>
      <c r="F12" s="304" t="inlineStr">
        <is>
          <t>每次新资产</t>
        </is>
      </c>
      <c r="G12" s="304" t="inlineStr">
        <is>
          <t>→买入触发</t>
        </is>
      </c>
    </row>
    <row r="13" ht="29.85" customHeight="1" s="183">
      <c r="A13" s="312" t="inlineStr">
        <is>
          <t>资产快速查询</t>
        </is>
      </c>
      <c r="B13" s="311" t="inlineStr">
        <is>
          <t>"调出XX"</t>
        </is>
      </c>
      <c r="C13" s="310" t="inlineStr">
        <is>
          <t>三层分析(宏观→中观→微观)→三关(懂不懂/护城河/管理层)→3选1(不动/加/减)。</t>
        </is>
      </c>
      <c r="D13" s="304" t="inlineStr">
        <is>
          <t>资产名称</t>
        </is>
      </c>
      <c r="E13" s="304" t="inlineStr">
        <is>
          <t>调研报告+建议</t>
        </is>
      </c>
      <c r="F13" s="304" t="inlineStr">
        <is>
          <t>按需</t>
        </is>
      </c>
      <c r="G13" s="304" t="inlineStr">
        <is>
          <t>←估值方法论←宏观传导</t>
        </is>
      </c>
    </row>
    <row r="14" ht="29.85" customHeight="1" s="183">
      <c r="A14" s="312" t="inlineStr">
        <is>
          <t>信息源到信念更新</t>
        </is>
      </c>
      <c r="B14" s="310" t="inlineStr">
        <is>
          <t>内置规则</t>
        </is>
      </c>
      <c r="C14" s="310" t="inlineStr">
        <is>
          <t>信息源→事件提取→贝叶斯P值更新→仓位影响计算→互锁验证。</t>
        </is>
      </c>
      <c r="D14" s="304" t="inlineStr">
        <is>
          <t>视频/新闻/文章</t>
        </is>
      </c>
      <c r="E14" s="304" t="inlineStr">
        <is>
          <t>事件记录+P值更新</t>
        </is>
      </c>
      <c r="F14" s="304" t="inlineStr">
        <is>
          <t>每次监控</t>
        </is>
      </c>
      <c r="G14" s="305" t="inlineStr">
        <is>
          <t>→P值体系</t>
        </is>
      </c>
    </row>
    <row r="15" ht="29.85" customHeight="1" s="183">
      <c r="A15" s="312" t="inlineStr">
        <is>
          <t>持仓周跟踪</t>
        </is>
      </c>
      <c r="B15" s="310" t="inlineStr">
        <is>
          <t>内置规则</t>
        </is>
      </c>
      <c r="C15" s="310" t="inlineStr">
        <is>
          <t>周日四层框架：叙事一致性→逻辑链检验→反常检测→前瞻更新(含置信度)。</t>
        </is>
      </c>
      <c r="D15" s="304" t="inlineStr">
        <is>
          <t>持仓数据+本周事件</t>
        </is>
      </c>
      <c r="E15" s="304" t="inlineStr">
        <is>
          <t>周报邮件</t>
        </is>
      </c>
      <c r="F15" s="304" t="inlineStr">
        <is>
          <t>每周日自动</t>
        </is>
      </c>
      <c r="G15" s="305" t="inlineStr">
        <is>
          <t>←P值←盈亏联动</t>
        </is>
      </c>
    </row>
    <row r="17" ht="17.15" customHeight="1" s="183">
      <c r="A17" s="313" t="inlineStr">
        <is>
          <t>B类：工具技能</t>
        </is>
      </c>
      <c r="B17" s="198" t="n"/>
      <c r="C17" s="198" t="n"/>
      <c r="D17" s="198" t="n"/>
      <c r="E17" s="198" t="n"/>
      <c r="F17" s="198" t="n"/>
      <c r="G17" s="199" t="n"/>
    </row>
    <row r="18" ht="17.15" customHeight="1" s="183">
      <c r="A18" s="312" t="inlineStr">
        <is>
          <t>基金估值CDP提取</t>
        </is>
      </c>
      <c r="B18" s="311" t="inlineStr">
        <is>
          <t>"查估值"</t>
        </is>
      </c>
      <c r="C18" s="310" t="inlineStr">
        <is>
          <t>通过Chrome CDP从蛋卷基金提取指数PE/PB百分位数据。</t>
        </is>
      </c>
      <c r="D18" s="304" t="inlineStr">
        <is>
          <t>指数名称</t>
        </is>
      </c>
      <c r="E18" s="305" t="inlineStr">
        <is>
          <t>PE/PB百分位</t>
        </is>
      </c>
      <c r="F18" s="304" t="inlineStr">
        <is>
          <t>按需</t>
        </is>
      </c>
      <c r="G18" s="304" t="inlineStr">
        <is>
          <t>→资产快速查询</t>
        </is>
      </c>
    </row>
    <row r="19" ht="17.15" customHeight="1" s="183">
      <c r="A19" s="312" t="inlineStr">
        <is>
          <t>利率数据查询</t>
        </is>
      </c>
      <c r="B19" s="311" t="inlineStr">
        <is>
          <t>"查利率"</t>
        </is>
      </c>
      <c r="C19" s="310" t="inlineStr">
        <is>
          <t>所有外部财经API被墙，唯一通路是浏览器CDP查利率。</t>
        </is>
      </c>
      <c r="D19" s="304" t="inlineStr">
        <is>
          <t>利率品种</t>
        </is>
      </c>
      <c r="E19" s="304" t="inlineStr">
        <is>
          <t>利率数值</t>
        </is>
      </c>
      <c r="F19" s="304" t="inlineStr">
        <is>
          <t>按需</t>
        </is>
      </c>
      <c r="G19" s="305" t="inlineStr">
        <is>
          <t>→P值利率折价</t>
        </is>
      </c>
    </row>
    <row r="21" ht="17.15" customHeight="1" s="183">
      <c r="A21" s="313" t="inlineStr">
        <is>
          <t>C类：流程与保障机制</t>
        </is>
      </c>
      <c r="B21" s="198" t="n"/>
      <c r="C21" s="198" t="n"/>
      <c r="D21" s="198" t="n"/>
      <c r="E21" s="198" t="n"/>
      <c r="F21" s="198" t="n"/>
      <c r="G21" s="199" t="n"/>
    </row>
    <row r="22" ht="29.85" customHeight="1" s="183">
      <c r="A22" s="312" t="inlineStr">
        <is>
          <t>监控第〇步五个开关</t>
        </is>
      </c>
      <c r="B22" s="310" t="inlineStr">
        <is>
          <t>内置规则</t>
        </is>
      </c>
      <c r="C22" s="310" t="inlineStr">
        <is>
          <t>每次监控前先确认：调试输出/收网/待重仓审核/宏观审核/巴菲特三关。</t>
        </is>
      </c>
      <c r="D22" s="304" t="inlineStr">
        <is>
          <t>用户指令</t>
        </is>
      </c>
      <c r="E22" s="304" t="inlineStr">
        <is>
          <t>开关配置</t>
        </is>
      </c>
      <c r="F22" s="304" t="inlineStr">
        <is>
          <t>每次监控</t>
        </is>
      </c>
      <c r="G22" s="304" t="inlineStr">
        <is>
          <t>→全流程</t>
        </is>
      </c>
    </row>
    <row r="23" ht="22.35" customHeight="1" s="183">
      <c r="A23" s="312" t="inlineStr">
        <is>
          <t>信源评分系统</t>
        </is>
      </c>
      <c r="B23" s="311" t="inlineStr">
        <is>
          <t>"校准信源"</t>
        </is>
      </c>
      <c r="C23" s="311" t="inlineStr">
        <is>
          <t>P值vs价格拟合→信源打分→门控方案(全信/半信/丢弃)。</t>
        </is>
      </c>
      <c r="D23" s="304" t="inlineStr">
        <is>
          <t>拟合结果+事件链</t>
        </is>
      </c>
      <c r="E23" s="305" t="inlineStr">
        <is>
          <t>source_calibration_deep.json</t>
        </is>
      </c>
      <c r="F23" s="304" t="inlineStr">
        <is>
          <t>每14天</t>
        </is>
      </c>
      <c r="G23" s="305" t="inlineStr">
        <is>
          <t>←P值拟合→门控</t>
        </is>
      </c>
    </row>
    <row r="24" ht="29.85" customHeight="1" s="183">
      <c r="A24" s="312" t="inlineStr">
        <is>
          <t>深度分析档案索引</t>
        </is>
      </c>
      <c r="B24" s="311" t="inlineStr">
        <is>
          <t>"查档案"</t>
        </is>
      </c>
      <c r="C24" s="310" t="inlineStr">
        <is>
          <t>任何深度分析完成后建索引(L1.5+L2+持久路径)，确保可追溯。</t>
        </is>
      </c>
      <c r="D24" s="304" t="inlineStr">
        <is>
          <t>分析对象名</t>
        </is>
      </c>
      <c r="E24" s="304" t="inlineStr">
        <is>
          <t>档案索引文档+L2记忆</t>
        </is>
      </c>
      <c r="F24" s="304" t="inlineStr">
        <is>
          <t>深度分析后</t>
        </is>
      </c>
      <c r="G24" s="304" t="inlineStr">
        <is>
          <t>→档案总索引</t>
        </is>
      </c>
    </row>
    <row r="25" ht="29.85" customHeight="1" s="183">
      <c r="A25" s="312" t="inlineStr">
        <is>
          <t>看板使用教程</t>
        </is>
      </c>
      <c r="B25" s="311" t="inlineStr">
        <is>
          <t>"怎么用看板"</t>
        </is>
      </c>
      <c r="C25" s="310" t="inlineStr">
        <is>
          <t>日常3分钟(看P值排序)/半月复盘(拟合信源)/正轨(时间线推演)。</t>
        </is>
      </c>
      <c r="D25" s="305" t="inlineStr">
        <is>
          <t>-</t>
        </is>
      </c>
      <c r="E25" s="305" t="inlineStr">
        <is>
          <t>~/桌面/看板使用教程.md</t>
        </is>
      </c>
      <c r="F25" s="304" t="inlineStr">
        <is>
          <t>按需</t>
        </is>
      </c>
      <c r="G25" s="305" t="inlineStr">
        <is>
          <t>-</t>
        </is>
      </c>
    </row>
    <row r="26" ht="17.15" customHeight="1" s="183">
      <c r="A26" s="312" t="inlineStr">
        <is>
          <t>日报Cron</t>
        </is>
      </c>
      <c r="B26" s="311" t="inlineStr">
        <is>
          <t>"出日报"</t>
        </is>
      </c>
      <c r="C26" s="310" t="inlineStr">
        <is>
          <t>工作日下午自动推送：P值总览+净值+事件→邮件。</t>
        </is>
      </c>
      <c r="D26" s="304" t="inlineStr">
        <is>
          <t>当前看板数据</t>
        </is>
      </c>
      <c r="E26" s="304" t="inlineStr">
        <is>
          <t>邮件到QQ</t>
        </is>
      </c>
      <c r="F26" s="304" t="inlineStr">
        <is>
          <t>工作日自动</t>
        </is>
      </c>
      <c r="G26" s="304" t="inlineStr">
        <is>
          <t>←全看板</t>
        </is>
      </c>
    </row>
    <row r="27" ht="29.85" customHeight="1" s="183">
      <c r="A27" s="312" t="inlineStr">
        <is>
          <t>新机制三重锁</t>
        </is>
      </c>
      <c r="B27" s="310" t="inlineStr">
        <is>
          <t>内置铁律</t>
        </is>
      </c>
      <c r="C27" s="310" t="inlineStr">
        <is>
          <t>锁1:建完机制同步更新三处 锁2:阶段四第12项自检 锁3:档案索引同步。防止机制隐身。</t>
        </is>
      </c>
      <c r="D27" s="304" t="inlineStr">
        <is>
          <t>新机制</t>
        </is>
      </c>
      <c r="E27" s="304" t="inlineStr">
        <is>
          <t>更新后的看板+文档</t>
        </is>
      </c>
      <c r="F27" s="304" t="inlineStr">
        <is>
          <t>每次建机制</t>
        </is>
      </c>
      <c r="G27" s="304" t="inlineStr">
        <is>
          <t>→本表</t>
        </is>
      </c>
    </row>
    <row r="30" ht="17.15" customHeight="1" s="183">
      <c r="A30" s="308" t="inlineStr">
        <is>
          <t>🔗 核心连锁关系</t>
        </is>
      </c>
      <c r="B30" s="198" t="n"/>
      <c r="C30" s="198" t="n"/>
      <c r="D30" s="198" t="n"/>
      <c r="E30" s="198" t="n"/>
      <c r="F30" s="198" t="n"/>
      <c r="G30" s="199" t="n"/>
    </row>
    <row r="31" ht="15" customHeight="1" s="183">
      <c r="A31" s="310" t="inlineStr">
        <is>
          <t>连锁1：P值拟合 → 信源评分 → 门控方案（全信/半信/丢弃）</t>
        </is>
      </c>
      <c r="B31" s="198" t="n"/>
      <c r="C31" s="198" t="n"/>
      <c r="D31" s="198" t="n"/>
      <c r="E31" s="198" t="n"/>
      <c r="F31" s="198" t="n"/>
      <c r="G31" s="199" t="n"/>
    </row>
    <row r="32" ht="15" customHeight="1" s="183">
      <c r="A32" s="310" t="inlineStr">
        <is>
          <t>连锁2：信息源→信念更新 → P值体系 → 盈亏比 → 机会成本 → 资金分配</t>
        </is>
      </c>
      <c r="B32" s="198" t="n"/>
      <c r="C32" s="198" t="n"/>
      <c r="D32" s="198" t="n"/>
      <c r="E32" s="198" t="n"/>
      <c r="F32" s="198" t="n"/>
      <c r="G32" s="199" t="n"/>
    </row>
    <row r="33" ht="15" customHeight="1" s="183">
      <c r="A33" s="310" t="inlineStr">
        <is>
          <t>连锁3：资产快速查询 → 三类操盘框架 → 买入触发条件 → 待重仓监控</t>
        </is>
      </c>
      <c r="B33" s="198" t="n"/>
      <c r="C33" s="198" t="n"/>
      <c r="D33" s="198" t="n"/>
      <c r="E33" s="198" t="n"/>
      <c r="F33" s="198" t="n"/>
      <c r="G33" s="199" t="n"/>
    </row>
    <row r="34" ht="15" customHeight="1" s="183">
      <c r="A34" s="310" t="inlineStr">
        <is>
          <t>连锁4：持仓盈亏联动 → 机会成本 → 资金分配交叉审核</t>
        </is>
      </c>
      <c r="B34" s="198" t="n"/>
      <c r="C34" s="198" t="n"/>
      <c r="D34" s="198" t="n"/>
      <c r="E34" s="198" t="n"/>
      <c r="F34" s="198" t="n"/>
      <c r="G34" s="199" t="n"/>
    </row>
    <row r="35" ht="15" customHeight="1" s="183">
      <c r="A35" s="310" t="inlineStr">
        <is>
          <t>连锁5：深度分析 → 档案索引 → 档案总索引 → L2可检索</t>
        </is>
      </c>
      <c r="B35" s="198" t="n"/>
      <c r="C35" s="198" t="n"/>
      <c r="D35" s="198" t="n"/>
      <c r="E35" s="198" t="n"/>
      <c r="F35" s="198" t="n"/>
      <c r="G35" s="199" t="n"/>
    </row>
    <row r="36" ht="15" customHeight="1" s="183">
      <c r="A36" s="310" t="inlineStr">
        <is>
          <t>连锁6：周报 → 叙事一致性 → 反常检测 → 前瞻更新 → 持仓调整</t>
        </is>
      </c>
      <c r="B36" s="198" t="n"/>
      <c r="C36" s="198" t="n"/>
      <c r="D36" s="198" t="n"/>
      <c r="E36" s="198" t="n"/>
      <c r="F36" s="198" t="n"/>
      <c r="G36" s="199" t="n"/>
    </row>
    <row r="38" ht="15" customHeight="1" s="183">
      <c r="A38" s="306" t="inlineStr">
        <is>
          <t>共记录 19 个机制 | 最后更新: 2026-06-07</t>
        </is>
      </c>
      <c r="B38" s="198" t="n"/>
      <c r="C38" s="198" t="n"/>
      <c r="D38" s="198" t="n"/>
      <c r="E38" s="198" t="n"/>
      <c r="F38" s="198" t="n"/>
      <c r="G38" s="199" t="n"/>
    </row>
    <row r="40">
      <c r="A40" s="307" t="inlineStr">
        <is>
          <t>⚙️ 系统机制速查（说对应的触发词 → 自动执行）</t>
        </is>
      </c>
      <c r="B40" s="198" t="n"/>
      <c r="C40" s="198" t="n"/>
      <c r="D40" s="198" t="n"/>
      <c r="E40" s="198" t="n"/>
      <c r="F40" s="198" t="n"/>
      <c r="G40" s="198" t="n"/>
      <c r="H40" s="199" t="n"/>
    </row>
    <row r="41">
      <c r="A41" s="308" t="inlineStr">
        <is>
          <t>📊 日常高频（每周用）</t>
        </is>
      </c>
      <c r="B41" s="198" t="n"/>
      <c r="C41" s="198" t="n"/>
      <c r="D41" s="198" t="n"/>
      <c r="E41" s="198" t="n"/>
      <c r="F41" s="198" t="n"/>
      <c r="G41" s="198" t="n"/>
      <c r="H41" s="199" t="n"/>
    </row>
    <row r="42">
      <c r="A42" s="309" t="inlineStr">
        <is>
          <t>"跑监控"</t>
        </is>
      </c>
      <c r="B42" s="199" t="n"/>
      <c r="C42" s="310" t="inlineStr">
        <is>
          <t>→ 全流程：抓取→转录→分析→更新看板</t>
        </is>
      </c>
      <c r="D42" s="198" t="n"/>
      <c r="E42" s="199" t="n"/>
    </row>
    <row r="43">
      <c r="A43" s="309" t="inlineStr">
        <is>
          <t>"跑盈亏联动"</t>
        </is>
      </c>
      <c r="B43" s="199" t="n"/>
      <c r="C43" s="311" t="inlineStr">
        <is>
          <t>→ P值×事件链×价格三维一致性检验</t>
        </is>
      </c>
      <c r="D43" s="198" t="n"/>
      <c r="E43" s="199" t="n"/>
    </row>
    <row r="44">
      <c r="A44" s="309" t="inlineStr">
        <is>
          <t>"看机会成本"</t>
        </is>
      </c>
      <c r="B44" s="199" t="n"/>
      <c r="C44" s="310" t="inlineStr">
        <is>
          <t>→ 所有投资选项P×R排序→决定现金分配</t>
        </is>
      </c>
      <c r="D44" s="198" t="n"/>
      <c r="E44" s="199" t="n"/>
    </row>
    <row r="45">
      <c r="A45" s="309" t="inlineStr">
        <is>
          <t>"调出XX"</t>
        </is>
      </c>
      <c r="B45" s="199" t="n"/>
      <c r="C45" s="310" t="inlineStr">
        <is>
          <t>→ 快速调研新资产：三层分析→三关→3选1</t>
        </is>
      </c>
      <c r="D45" s="198" t="n"/>
      <c r="E45" s="199" t="n"/>
    </row>
    <row r="46">
      <c r="A46" s="309" t="inlineStr">
        <is>
          <t>"资金怎么分"</t>
        </is>
      </c>
      <c r="B46" s="199" t="n"/>
      <c r="C46" s="311" t="inlineStr">
        <is>
          <t>→ Hermes+小龙多轮交叉审核→资金分配方案</t>
        </is>
      </c>
      <c r="D46" s="198" t="n"/>
      <c r="E46" s="199" t="n"/>
    </row>
    <row r="47">
      <c r="A47" s="309" t="inlineStr">
        <is>
          <t>"出日报"</t>
        </is>
      </c>
      <c r="B47" s="199" t="n"/>
      <c r="C47" s="310" t="inlineStr">
        <is>
          <t>→ 当前P值总览+净值+事件→邮件推送</t>
        </is>
      </c>
      <c r="D47" s="198" t="n"/>
      <c r="E47" s="199" t="n"/>
    </row>
    <row r="48">
      <c r="A48" s="309" t="inlineStr">
        <is>
          <t>"查档案"</t>
        </is>
      </c>
      <c r="B48" s="199" t="n"/>
      <c r="C48" s="310" t="inlineStr">
        <is>
          <t>→ 查深度分析原始数据+报告→档案总索引/查固定品和人</t>
        </is>
      </c>
      <c r="D48" s="198" t="n"/>
      <c r="E48" s="199" t="n"/>
    </row>
    <row r="50">
      <c r="A50" s="308" t="inlineStr">
        <is>
          <t>📅 定期自动</t>
        </is>
      </c>
      <c r="B50" s="198" t="n"/>
      <c r="C50" s="198" t="n"/>
      <c r="D50" s="198" t="n"/>
      <c r="E50" s="198" t="n"/>
      <c r="F50" s="198" t="n"/>
      <c r="G50" s="198" t="n"/>
      <c r="H50" s="199" t="n"/>
    </row>
    <row r="51">
      <c r="A51" s="309" t="inlineStr">
        <is>
          <t>P值拟合</t>
        </is>
      </c>
      <c r="B51" s="199" t="n"/>
      <c r="C51" s="310" t="inlineStr">
        <is>
          <t>→ 每7天自动：验证P值预测准不准→拟合分析Sheet</t>
        </is>
      </c>
      <c r="D51" s="198" t="n"/>
      <c r="E51" s="199" t="n"/>
    </row>
    <row r="52">
      <c r="A52" s="312" t="inlineStr">
        <is>
          <t>周报</t>
        </is>
      </c>
      <c r="B52" s="199" t="n"/>
      <c r="C52" s="310" t="inlineStr">
        <is>
          <t>→ 每周日：叙事串联+梯队复盘→邮件</t>
        </is>
      </c>
      <c r="D52" s="198" t="n"/>
      <c r="E52" s="199" t="n"/>
    </row>
    <row r="53">
      <c r="A53" s="312" t="inlineStr">
        <is>
          <t>持仓周跟踪</t>
        </is>
      </c>
      <c r="B53" s="199" t="n"/>
      <c r="C53" s="310" t="inlineStr">
        <is>
          <t>→ 每周日：叙事一致性→逻辑链→反常→前瞻</t>
        </is>
      </c>
      <c r="D53" s="198" t="n"/>
      <c r="E53" s="199" t="n"/>
    </row>
    <row r="54">
      <c r="A54" s="312" t="inlineStr">
        <is>
          <t>信源评分</t>
        </is>
      </c>
      <c r="B54" s="199" t="n"/>
      <c r="C54" s="310" t="inlineStr">
        <is>
          <t>→ 每14天：校准信源打分→门控方案更新</t>
        </is>
      </c>
      <c r="D54" s="198" t="n"/>
      <c r="E54" s="199" t="n"/>
    </row>
    <row r="56">
      <c r="A56" s="313" t="inlineStr">
        <is>
          <t>📌 Sheet2关键标注（对应位置有提示）</t>
        </is>
      </c>
      <c r="B56" s="198" t="n"/>
      <c r="C56" s="198" t="n"/>
      <c r="D56" s="198" t="n"/>
      <c r="E56" s="198" t="n"/>
      <c r="F56" s="198" t="n"/>
      <c r="G56" s="198" t="n"/>
      <c r="H56" s="199" t="n"/>
    </row>
    <row r="57">
      <c r="A57" s="309" t="inlineStr">
        <is>
          <t>P值旁注</t>
        </is>
      </c>
      <c r="B57" s="199" t="n"/>
      <c r="C57" s="310" t="inlineStr">
        <is>
          <t>→ 说"跑P值拟合"验证准不准</t>
        </is>
      </c>
      <c r="D57" s="198" t="n"/>
      <c r="E57" s="199" t="n"/>
    </row>
    <row r="58">
      <c r="A58" s="312" t="inlineStr">
        <is>
          <t>事件链旁注</t>
        </is>
      </c>
      <c r="B58" s="199" t="n"/>
      <c r="C58" s="310" t="inlineStr">
        <is>
          <t>→ 说"校准信源"更新博主权重</t>
        </is>
      </c>
      <c r="D58" s="198" t="n"/>
      <c r="E58" s="199" t="n"/>
    </row>
    <row r="59">
      <c r="A59" s="312" t="inlineStr">
        <is>
          <t>机会成本旁注</t>
        </is>
      </c>
      <c r="B59" s="199" t="n"/>
      <c r="C59" s="310" t="inlineStr">
        <is>
          <t>→ 说"看机会成本"改排序参数</t>
        </is>
      </c>
      <c r="D59" s="198" t="n"/>
      <c r="E59" s="199" t="n"/>
    </row>
    <row r="60">
      <c r="A60" s="312" t="inlineStr">
        <is>
          <t>待重仓旁注</t>
        </is>
      </c>
      <c r="B60" s="199" t="n"/>
      <c r="C60" s="310" t="inlineStr">
        <is>
          <t>→ 说"资金怎么分"启动交叉审核</t>
        </is>
      </c>
      <c r="D60" s="198" t="n"/>
      <c r="E60" s="199" t="n"/>
    </row>
    <row r="62">
      <c r="A62" s="308" t="inlineStr">
        <is>
          <t>📖 完整机制清单（说"我要看XX"即可调用详细文档）</t>
        </is>
      </c>
      <c r="B62" s="198" t="n"/>
      <c r="C62" s="198" t="n"/>
      <c r="D62" s="198" t="n"/>
      <c r="E62" s="198" t="n"/>
      <c r="F62" s="198" t="n"/>
      <c r="G62" s="198" t="n"/>
      <c r="H62" s="199" t="n"/>
    </row>
    <row r="63">
      <c r="A63" s="309" t="inlineStr">
        <is>
          <t>P值三层次体系</t>
        </is>
      </c>
      <c r="B63" s="199" t="n"/>
      <c r="C63" s="310" t="inlineStr">
        <is>
          <t>→ 主P(事实)→虚P(观点)→利率折价→有效P</t>
        </is>
      </c>
      <c r="D63" s="198" t="n"/>
      <c r="E63" s="199" t="n"/>
    </row>
    <row r="64">
      <c r="A64" s="312" t="inlineStr">
        <is>
          <t>盈亏比计算</t>
        </is>
      </c>
      <c r="B64" s="199" t="n"/>
      <c r="C64" s="310" t="inlineStr">
        <is>
          <t>→ 确定性空间+溢价×P打折÷下行极限</t>
        </is>
      </c>
      <c r="D64" s="198" t="n"/>
      <c r="E64" s="199" t="n"/>
    </row>
    <row r="65">
      <c r="A65" s="312" t="inlineStr">
        <is>
          <t>三类操盘框架</t>
        </is>
      </c>
      <c r="B65" s="199" t="n"/>
      <c r="C65" s="310" t="inlineStr">
        <is>
          <t>→ 右侧(等信号)/左侧(低估值拿)/HALO(方向性看)</t>
        </is>
      </c>
      <c r="D65" s="198" t="n"/>
      <c r="E65" s="199" t="n"/>
    </row>
    <row r="66">
      <c r="A66" s="312" t="inlineStr">
        <is>
          <t>买入触发条件</t>
        </is>
      </c>
      <c r="B66" s="199" t="n"/>
      <c r="C66" s="310" t="inlineStr">
        <is>
          <t>→ 通用买入信号模板（各品种不同）</t>
        </is>
      </c>
      <c r="D66" s="198" t="n"/>
      <c r="E66" s="199" t="n"/>
    </row>
    <row r="67">
      <c r="A67" s="312" t="inlineStr">
        <is>
          <t>信息源到信念更新</t>
        </is>
      </c>
      <c r="B67" s="199" t="n"/>
      <c r="C67" s="310" t="inlineStr">
        <is>
          <t>→ 信息→事件→贝叶斯P值→仓位影响</t>
        </is>
      </c>
      <c r="D67" s="198" t="n"/>
      <c r="E67" s="199" t="n"/>
    </row>
    <row r="68">
      <c r="A68" s="312" t="inlineStr">
        <is>
          <t>宏观传导框架</t>
        </is>
      </c>
      <c r="B68" s="199" t="n"/>
      <c r="C68" s="310" t="inlineStr">
        <is>
          <t>→ 宏观事件→中观→微观→持仓影响</t>
        </is>
      </c>
      <c r="D68" s="198" t="n"/>
      <c r="E68" s="199" t="n"/>
    </row>
    <row r="69">
      <c r="A69" s="312" t="inlineStr">
        <is>
          <t>估值方法论</t>
        </is>
      </c>
      <c r="B69" s="199" t="n"/>
      <c r="C69" s="311" t="inlineStr">
        <is>
          <t>→ PEG-PB/DCF/市净率等路由表</t>
        </is>
      </c>
      <c r="D69" s="198" t="n"/>
      <c r="E69" s="199" t="n"/>
    </row>
    <row r="70">
      <c r="A70" s="312" t="inlineStr">
        <is>
          <t>贝叶斯P值赔率校准</t>
        </is>
      </c>
      <c r="B70" s="199" t="n"/>
      <c r="C70" s="311" t="inlineStr">
        <is>
          <t>→ P值系统的完整数学基础</t>
        </is>
      </c>
      <c r="D70" s="198" t="n"/>
      <c r="E70" s="199" t="n"/>
    </row>
    <row r="71">
      <c r="A71" s="312" t="inlineStr">
        <is>
          <t>地缘事件监控</t>
        </is>
      </c>
      <c r="B71" s="199" t="n"/>
      <c r="C71" s="310" t="inlineStr">
        <is>
          <t>→ 国际事件→板块映射表</t>
        </is>
      </c>
      <c r="D71" s="198" t="n"/>
      <c r="E71" s="199" t="n"/>
    </row>
    <row r="72">
      <c r="A72" s="312" t="inlineStr">
        <is>
          <t>投资仓位管理机制v3</t>
        </is>
      </c>
      <c r="B72" s="199" t="n"/>
      <c r="C72" s="310" t="inlineStr">
        <is>
          <t>→ 仓位管理规则</t>
        </is>
      </c>
      <c r="D72" s="198" t="n"/>
      <c r="E72" s="199" t="n"/>
    </row>
    <row r="73">
      <c r="A73" s="312" t="inlineStr">
        <is>
          <t>基金估值CDP提取</t>
        </is>
      </c>
      <c r="B73" s="199" t="n"/>
      <c r="C73" s="310" t="inlineStr">
        <is>
          <t>→ 蛋卷基金PE/PB百分位</t>
        </is>
      </c>
      <c r="D73" s="198" t="n"/>
      <c r="E73" s="199" t="n"/>
    </row>
    <row r="74">
      <c r="A74" s="312" t="inlineStr">
        <is>
          <t>利率数据查询</t>
        </is>
      </c>
      <c r="B74" s="199" t="n"/>
      <c r="C74" s="310" t="inlineStr">
        <is>
          <t>→ 浏览器CDP查利率(唯一通路)</t>
        </is>
      </c>
      <c r="D74" s="198" t="n"/>
      <c r="E74" s="199" t="n"/>
    </row>
    <row r="76">
      <c r="A76" s="308" t="inlineStr">
        <is>
          <t>💡 使用规则</t>
        </is>
      </c>
      <c r="B76" s="198" t="n"/>
      <c r="C76" s="198" t="n"/>
      <c r="D76" s="198" t="n"/>
      <c r="E76" s="198" t="n"/>
      <c r="F76" s="198" t="n"/>
      <c r="G76" s="198" t="n"/>
      <c r="H76" s="199" t="n"/>
    </row>
    <row r="77">
      <c r="A77" s="311" t="inlineStr">
        <is>
          <t>1. 机制名=触发词，你说啥我跑啥。不说的不跑，免得烧token。</t>
        </is>
      </c>
      <c r="B77" s="198" t="n"/>
      <c r="C77" s="198" t="n"/>
      <c r="D77" s="198" t="n"/>
      <c r="E77" s="198" t="n"/>
      <c r="F77" s="198" t="n"/>
      <c r="G77" s="198" t="n"/>
      <c r="H77" s="199" t="n"/>
    </row>
    <row r="78">
      <c r="A78" s="311" t="inlineStr">
        <is>
          <t>2. 机制之间有连锁关系（如P值拟合→信源评分→门控方案），执行时自动联动。</t>
        </is>
      </c>
      <c r="B78" s="198" t="n"/>
      <c r="C78" s="198" t="n"/>
      <c r="D78" s="198" t="n"/>
      <c r="E78" s="198" t="n"/>
      <c r="F78" s="198" t="n"/>
      <c r="G78" s="198" t="n"/>
      <c r="H78" s="199" t="n"/>
    </row>
    <row r="79">
      <c r="A79" s="311" t="inlineStr">
        <is>
          <t>3. 新机制建成后必须同步更新此表（三重锁：技能铁律+阶段四检查+档案索引）。</t>
        </is>
      </c>
      <c r="B79" s="198" t="n"/>
      <c r="C79" s="198" t="n"/>
      <c r="D79" s="198" t="n"/>
      <c r="E79" s="198" t="n"/>
      <c r="F79" s="198" t="n"/>
      <c r="G79" s="198" t="n"/>
      <c r="H79" s="199" t="n"/>
    </row>
    <row r="80">
      <c r="A80" s="311" t="inlineStr">
        <is>
          <t>4. 完整机制说明见独立"系统机制"Sheet。</t>
        </is>
      </c>
      <c r="B80" s="198" t="n"/>
      <c r="C80" s="198" t="n"/>
      <c r="D80" s="198" t="n"/>
      <c r="E80" s="198" t="n"/>
      <c r="F80" s="198" t="n"/>
      <c r="G80" s="198" t="n"/>
      <c r="H80" s="199" t="n"/>
    </row>
  </sheetData>
  <mergeCells count="13">
    <mergeCell ref="A32:G32"/>
    <mergeCell ref="A36:G36"/>
    <mergeCell ref="A1:G1"/>
    <mergeCell ref="A17:G17"/>
    <mergeCell ref="A31:G31"/>
    <mergeCell ref="A21:G21"/>
    <mergeCell ref="A34:G34"/>
    <mergeCell ref="A35:G35"/>
    <mergeCell ref="A4:G4"/>
    <mergeCell ref="A30:G30"/>
    <mergeCell ref="A2:G2"/>
    <mergeCell ref="A38:G38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314" t="inlineStr">
        <is>
          <t>🔴🔴🔴 战略级虚P信号池 + 现金策略联动（2026-06-04）🔴🔴🔴</t>
        </is>
      </c>
    </row>
    <row r="2">
      <c r="A2" s="315" t="inlineStr">
        <is>
          <t>虚P规则：未落地→记虚P→不加实P→等落地转实P。此板块锁定大部分现金，与机会成本联动分析。</t>
        </is>
      </c>
    </row>
    <row r="3">
      <c r="A3" s="316" t="inlineStr">
        <is>
          <t>一、三源信号详情</t>
        </is>
      </c>
    </row>
    <row r="4">
      <c r="A4" s="317" t="inlineStr">
        <is>
          <t>来源</t>
        </is>
      </c>
      <c r="B4" s="317" t="inlineStr">
        <is>
          <t>核心观点</t>
        </is>
      </c>
      <c r="C4" s="317" t="inlineStr">
        <is>
          <t>与你策略契合</t>
        </is>
      </c>
      <c r="D4" s="317" t="inlineStr">
        <is>
          <t>虚P方向</t>
        </is>
      </c>
      <c r="E4" s="317" t="inlineStr">
        <is>
          <t>落地条件</t>
        </is>
      </c>
      <c r="F4" s="317" t="inlineStr">
        <is>
          <t>状态</t>
        </is>
      </c>
      <c r="G4" s="317" t="inlineStr">
        <is>
          <t>权重</t>
        </is>
      </c>
      <c r="H4" s="317" t="inlineStr">
        <is>
          <t>备注</t>
        </is>
      </c>
    </row>
    <row r="5">
      <c r="A5" s="318" t="inlineStr">
        <is>
          <t>达利欧
Bloomberg 6/3</t>
        </is>
      </c>
      <c r="B5" s="318" t="inlineStr">
        <is>
          <t>AI泡沫65-75%概率年底破
"财富转现金=刺破泡沫"
技术不会失败
类比dotcom
基建投入&gt;&gt;收入</t>
        </is>
      </c>
      <c r="C5" s="319" t="inlineStr">
        <is>
          <t>完全契合
等中期选举大跌
现金那时候用
回调后大仓位进</t>
        </is>
      </c>
      <c r="D5" s="318" t="inlineStr">
        <is>
          <t>芯片-2pp
恒科-1pp
(虚P)</t>
        </is>
      </c>
      <c r="E5" s="318" t="inlineStr">
        <is>
          <t>七姐妹&gt;15%回调
或破200日均线</t>
        </is>
      </c>
      <c r="F5" s="320" t="inlineStr">
        <is>
          <t>未落地</t>
        </is>
      </c>
      <c r="G5" s="321" t="inlineStr">
        <is>
          <t>极高
5星</t>
        </is>
      </c>
      <c r="H5" s="318" t="inlineStr">
        <is>
          <t>与你100%一致
回调=买入机会</t>
        </is>
      </c>
    </row>
    <row r="6">
      <c r="A6" s="318" t="inlineStr">
        <is>
          <t>李大霄
金融界 6/4</t>
        </is>
      </c>
      <c r="B6" s="318" t="inlineStr">
        <is>
          <t>美股窄牛宽熊
仅20只创新高
CAPE40倍
权重极度集中
IPO抽血</t>
        </is>
      </c>
      <c r="C6" s="319" t="inlineStr">
        <is>
          <t>高度契合
确认美股风险
现金策略正确</t>
        </is>
      </c>
      <c r="D6" s="318" t="inlineStr">
        <is>
          <t>恒科-2pp
芯片-1pp
(虚P)</t>
        </is>
      </c>
      <c r="E6" s="318" t="inlineStr">
        <is>
          <t>纳指破200日均线
多数成分股下跌</t>
        </is>
      </c>
      <c r="F6" s="320" t="inlineStr">
        <is>
          <t>未落地</t>
        </is>
      </c>
      <c r="G6" s="318" t="inlineStr">
        <is>
          <t>中高
3星</t>
        </is>
      </c>
      <c r="H6" s="318" t="inlineStr">
        <is>
          <t>数据靠谱
结论偏激进</t>
        </is>
      </c>
    </row>
    <row r="7">
      <c r="A7" s="318" t="inlineStr">
        <is>
          <t>知乎专栏
6/4</t>
        </is>
      </c>
      <c r="B7" s="299" t="n"/>
      <c r="C7" s="299" t="n"/>
      <c r="D7" s="299" t="n"/>
      <c r="E7" s="299" t="n"/>
      <c r="F7" s="299" t="n"/>
      <c r="G7" s="299" t="n"/>
      <c r="H7" s="300" t="n"/>
    </row>
    <row r="9">
      <c r="A9" s="316" t="inlineStr">
        <is>
          <t>二、三源互锁验证</t>
        </is>
      </c>
    </row>
    <row r="10">
      <c r="A10" s="322" t="inlineStr">
        <is>
          <t>互锁组合</t>
        </is>
      </c>
      <c r="B10" s="322" t="inlineStr">
        <is>
          <t>关系</t>
        </is>
      </c>
      <c r="C10" s="322" t="inlineStr">
        <is>
          <t>分析</t>
        </is>
      </c>
      <c r="D10" s="322" t="inlineStr">
        <is>
          <t>信号强度</t>
        </is>
      </c>
    </row>
    <row r="11">
      <c r="A11" s="323" t="inlineStr">
        <is>
          <t>达利欧×李大霄</t>
        </is>
      </c>
      <c r="B11" s="324" t="inlineStr">
        <is>
          <t>✅强印证</t>
        </is>
      </c>
      <c r="C11" s="318" t="inlineStr">
        <is>
          <t>AI泡沫+窄牛宽熊=同一现象两角度</t>
        </is>
      </c>
      <c r="D11" s="318" t="inlineStr">
        <is>
          <t>🔴强信号</t>
        </is>
      </c>
    </row>
    <row r="12">
      <c r="A12" s="323" t="inlineStr">
        <is>
          <t>达利欧×知乎</t>
        </is>
      </c>
      <c r="B12" s="325" t="inlineStr">
        <is>
          <t>⚠️部分矛盾</t>
        </is>
      </c>
      <c r="C12" s="318" t="inlineStr">
        <is>
          <t>达看流动性vs知乎看估值</t>
        </is>
      </c>
      <c r="D12" s="318" t="inlineStr">
        <is>
          <t>🟡中性</t>
        </is>
      </c>
    </row>
    <row r="13">
      <c r="A13" s="323" t="inlineStr">
        <is>
          <t>三源共识</t>
        </is>
      </c>
      <c r="B13" s="193" t="n"/>
      <c r="C13" s="193" t="n"/>
      <c r="D13" s="193" t="n"/>
      <c r="E13" s="193" t="n"/>
      <c r="F13" s="193" t="n"/>
      <c r="G13" s="193" t="n"/>
      <c r="H13" s="194" t="n"/>
    </row>
    <row r="15">
      <c r="A15" s="326" t="inlineStr">
        <is>
          <t>三、现金策略联动（锁定大部分现金储备）</t>
        </is>
      </c>
    </row>
    <row r="16">
      <c r="A16" s="315" t="inlineStr">
        <is>
          <t>三源联动→达利欧65-75%概率年底AI回调+中期选举历史跌一波→锁定大部分现金→等11月回调入场</t>
        </is>
      </c>
    </row>
    <row r="17">
      <c r="A17" s="322" t="inlineStr">
        <is>
          <t>维度</t>
        </is>
      </c>
    </row>
    <row r="18">
      <c r="A18" s="318" t="inlineStr">
        <is>
          <t>现金锁定</t>
        </is>
      </c>
      <c r="B18" s="318" t="inlineStr">
        <is>
          <t>大部分现金(60-70%)锁定等待</t>
        </is>
      </c>
      <c r="C18" s="318" t="inlineStr">
        <is>
          <t>→当前可投资金大幅减少</t>
        </is>
      </c>
    </row>
    <row r="19">
      <c r="A19" s="318" t="inlineStr">
        <is>
          <t>等待窗口</t>
        </is>
      </c>
      <c r="B19" s="318" t="inlineStr">
        <is>
          <t>2026年11月中期选举前后</t>
        </is>
      </c>
      <c r="C19" s="318" t="inlineStr">
        <is>
          <t>→约5个月等待期</t>
        </is>
      </c>
    </row>
    <row r="20">
      <c r="A20" s="318" t="inlineStr">
        <is>
          <t>触发条件</t>
        </is>
      </c>
      <c r="B20" s="318" t="inlineStr">
        <is>
          <t>美股跌一波+AI回调&gt;15%</t>
        </is>
      </c>
      <c r="C20" s="318" t="inlineStr">
        <is>
          <t>→达利欧65-75%概率事件</t>
        </is>
      </c>
    </row>
    <row r="21">
      <c r="A21" s="318" t="inlineStr">
        <is>
          <t>入场标的</t>
        </is>
      </c>
      <c r="B21" s="318" t="inlineStr">
        <is>
          <t>堆叠：长电科技+通富微电</t>
        </is>
      </c>
      <c r="C21" s="318" t="inlineStr">
        <is>
          <t>→国内确定性不受美股影响</t>
        </is>
      </c>
    </row>
    <row r="22">
      <c r="A22" s="318" t="inlineStr">
        <is>
          <t>机会成本</t>
        </is>
      </c>
      <c r="B22" s="318" t="inlineStr">
        <is>
          <t>持有现金5个月vs错过短期行情</t>
        </is>
      </c>
      <c r="C22" s="318" t="inlineStr">
        <is>
          <t>→见下方机会成本联动</t>
        </is>
      </c>
    </row>
    <row r="23">
      <c r="A23" s="318" t="inlineStr">
        <is>
          <t>下行保护</t>
        </is>
      </c>
      <c r="B23" s="193" t="n"/>
      <c r="C23" s="193" t="n"/>
      <c r="D23" s="193" t="n"/>
      <c r="E23" s="193" t="n"/>
      <c r="F23" s="193" t="n"/>
      <c r="G23" s="193" t="n"/>
      <c r="H23" s="194" t="n"/>
    </row>
    <row r="25">
      <c r="A25" s="326" t="inlineStr">
        <is>
          <t>四、机会成本联动分析（现金锁定vs其他选项）</t>
        </is>
      </c>
    </row>
    <row r="26">
      <c r="A26" s="322" t="inlineStr">
        <is>
          <t>选项</t>
        </is>
      </c>
      <c r="B26" s="322" t="inlineStr">
        <is>
          <t>P值</t>
        </is>
      </c>
      <c r="C26" s="322" t="inlineStr">
        <is>
          <t>盈亏比</t>
        </is>
      </c>
      <c r="D26" s="322" t="inlineStr">
        <is>
          <t>Score</t>
        </is>
      </c>
      <c r="E26" s="322" t="inlineStr">
        <is>
          <t>现金锁定影响</t>
        </is>
      </c>
      <c r="F26" s="322" t="inlineStr">
        <is>
          <t>建议</t>
        </is>
      </c>
      <c r="G26" s="322" t="inlineStr">
        <is>
          <t>判断</t>
        </is>
      </c>
    </row>
    <row r="27">
      <c r="A27" s="318" t="inlineStr">
        <is>
          <t>长电科技</t>
        </is>
      </c>
      <c r="B27" s="318" t="inlineStr">
        <is>
          <t>75%</t>
        </is>
      </c>
      <c r="C27" s="318" t="inlineStr">
        <is>
          <t>4.5:1</t>
        </is>
      </c>
      <c r="D27" s="318" t="inlineStr">
        <is>
          <t>3.375</t>
        </is>
      </c>
      <c r="E27" s="318" t="inlineStr">
        <is>
          <t>等回调大仓位
现金锁定中</t>
        </is>
      </c>
      <c r="F27" s="318" t="inlineStr">
        <is>
          <t>暂不动等11月</t>
        </is>
      </c>
      <c r="G27" s="321" t="inlineStr">
        <is>
          <t>🔴最高优先</t>
        </is>
      </c>
    </row>
    <row r="28">
      <c r="A28" s="318" t="inlineStr">
        <is>
          <t>通富微电</t>
        </is>
      </c>
      <c r="B28" s="318" t="inlineStr">
        <is>
          <t>75%</t>
        </is>
      </c>
      <c r="C28" s="318" t="inlineStr">
        <is>
          <t>4.0:1</t>
        </is>
      </c>
      <c r="D28" s="318" t="inlineStr">
        <is>
          <t>3.000</t>
        </is>
      </c>
      <c r="E28" s="318" t="inlineStr">
        <is>
          <t>等回调大仓位
现金锁定中</t>
        </is>
      </c>
      <c r="F28" s="318" t="inlineStr">
        <is>
          <t>暂不动等11月</t>
        </is>
      </c>
      <c r="G28" s="321" t="inlineStr">
        <is>
          <t>🔴最高优先</t>
        </is>
      </c>
    </row>
    <row r="29">
      <c r="A29" s="318" t="inlineStr">
        <is>
          <t>养殖</t>
        </is>
      </c>
      <c r="B29" s="318" t="inlineStr">
        <is>
          <t>70%</t>
        </is>
      </c>
      <c r="C29" s="318" t="inlineStr">
        <is>
          <t>2.0:1</t>
        </is>
      </c>
      <c r="D29" s="318" t="inlineStr">
        <is>
          <t>1.400</t>
        </is>
      </c>
      <c r="E29" s="318" t="inlineStr">
        <is>
          <t>已持仓不需现金 | 6/5 芳姐：低价抄底母猪，行业融资枯竭，等待母猪血流成河才是最佳买点</t>
        </is>
      </c>
      <c r="F29" s="318" t="inlineStr">
        <is>
          <t>继续持有</t>
        </is>
      </c>
      <c r="G29" s="319" t="inlineStr">
        <is>
          <t>✅已配置</t>
        </is>
      </c>
    </row>
    <row r="30">
      <c r="A30" s="318" t="inlineStr">
        <is>
          <t>电池</t>
        </is>
      </c>
      <c r="B30" s="318" t="inlineStr">
        <is>
          <t>65%</t>
        </is>
      </c>
      <c r="C30" s="318" t="inlineStr">
        <is>
          <t>2.0:1</t>
        </is>
      </c>
      <c r="D30" s="318" t="inlineStr">
        <is>
          <t>1.300</t>
        </is>
      </c>
      <c r="E30" s="318" t="inlineStr">
        <is>
          <t>已持仓不需现金 | 6/5 闻号说经济：厄尔尼诺80%概率+AI用电爆发→电力/能源受益</t>
        </is>
      </c>
      <c r="F30" s="318" t="inlineStr">
        <is>
          <t>继续持有</t>
        </is>
      </c>
      <c r="G30" s="319" t="inlineStr">
        <is>
          <t>✅已配置</t>
        </is>
      </c>
    </row>
    <row r="31">
      <c r="A31" s="318" t="inlineStr">
        <is>
          <t>核电</t>
        </is>
      </c>
      <c r="B31" s="318" t="inlineStr">
        <is>
          <t>52%</t>
        </is>
      </c>
      <c r="C31" s="318" t="inlineStr">
        <is>
          <t>1.5:1</t>
        </is>
      </c>
      <c r="D31" s="318" t="inlineStr">
        <is>
          <t>0.780</t>
        </is>
      </c>
      <c r="E31" s="318" t="inlineStr">
        <is>
          <t>10年维度
小仓试水可行</t>
        </is>
      </c>
      <c r="F31" s="318" t="inlineStr">
        <is>
          <t>不影响现金策略</t>
        </is>
      </c>
      <c r="G31" s="327" t="inlineStr">
        <is>
          <t>🟡长期观察</t>
        </is>
      </c>
    </row>
    <row r="32">
      <c r="A32" s="318" t="inlineStr">
        <is>
          <t>存储</t>
        </is>
      </c>
      <c r="B32" s="318" t="inlineStr">
        <is>
          <t>55%</t>
        </is>
      </c>
      <c r="C32" s="318" t="inlineStr">
        <is>
          <t>1.0:1</t>
        </is>
      </c>
      <c r="D32" s="318" t="inlineStr">
        <is>
          <t>0.550</t>
        </is>
      </c>
      <c r="E32" s="318" t="inlineStr">
        <is>
          <t>已降级</t>
        </is>
      </c>
      <c r="F32" s="318" t="inlineStr">
        <is>
          <t>不动</t>
        </is>
      </c>
      <c r="G32" s="321" t="inlineStr">
        <is>
          <t>❌已降级</t>
        </is>
      </c>
    </row>
    <row r="33">
      <c r="A33" s="318" t="inlineStr">
        <is>
          <t>纯现金5月</t>
        </is>
      </c>
      <c r="B33" s="193" t="n"/>
      <c r="C33" s="193" t="n"/>
      <c r="D33" s="193" t="n"/>
      <c r="E33" s="193" t="n"/>
      <c r="F33" s="193" t="n"/>
      <c r="G33" s="193" t="n"/>
      <c r="H33" s="194" t="n"/>
    </row>
    <row r="34">
      <c r="A34" s="195" t="inlineStr">
        <is>
          <t>AI硬件确定性(付鹏) → 内存=AI核心瓶颈(4信源互锁) → 国产替代加速 → 稀土断供日本 → 芯片/存储/HBM长期利好 | 短期被利率↑/地缘↑压制</t>
        </is>
      </c>
    </row>
    <row r="35">
      <c r="A35" s="328" t="inlineStr">
        <is>
          <t>五、虚P→实P转换条件 &amp; 操作触发</t>
        </is>
      </c>
      <c r="B35" s="193" t="n"/>
      <c r="C35" s="193" t="n"/>
      <c r="D35" s="193" t="n"/>
      <c r="E35" s="193" t="n"/>
      <c r="F35" s="193" t="n"/>
      <c r="G35" s="193" t="n"/>
      <c r="H35" s="194" t="n"/>
    </row>
    <row r="36">
      <c r="A36" s="317" t="inlineStr">
        <is>
          <t>条件</t>
        </is>
      </c>
      <c r="B36" s="322" t="inlineStr">
        <is>
          <t>触发信号</t>
        </is>
      </c>
      <c r="C36" s="317" t="inlineStr">
        <is>
          <t>影响</t>
        </is>
      </c>
      <c r="D36" s="317" t="inlineStr">
        <is>
          <t>操作</t>
        </is>
      </c>
      <c r="E36" s="195" t="inlineStr">
        <is>
          <t>2026-05-30 宋鸿兵：海峡封锁→能源成本飙升</t>
        </is>
      </c>
      <c r="F36" s="195" t="inlineStr">
        <is>
          <t>2026-05-30 岩松：存储1-2年产能饱和</t>
        </is>
      </c>
      <c r="G36" s="195" t="inlineStr">
        <is>
          <t>2026-05-30 宋鸿兵：30年美债破5%双红线</t>
        </is>
      </c>
    </row>
    <row r="37">
      <c r="A37" s="329" t="inlineStr">
        <is>
          <t>达利欧落地</t>
        </is>
      </c>
      <c r="B37" s="318" t="inlineStr">
        <is>
          <t>七姐妹&gt;15%回调或破200日均线</t>
        </is>
      </c>
      <c r="C37" s="318" t="inlineStr">
        <is>
          <t>芯片/恒科虚P转实P</t>
        </is>
      </c>
      <c r="D37" s="318" t="inlineStr">
        <is>
          <t>现金解锁→大仓位进堆叠</t>
        </is>
      </c>
    </row>
    <row r="38">
      <c r="A38" s="327" t="inlineStr">
        <is>
          <t>李大霄落地</t>
        </is>
      </c>
      <c r="B38" s="318" t="inlineStr">
        <is>
          <t>多数成分股下跌+指数拐头</t>
        </is>
      </c>
      <c r="C38" s="318" t="inlineStr">
        <is>
          <t>恒科/芯片虚P转实P</t>
        </is>
      </c>
      <c r="D38" s="318" t="inlineStr">
        <is>
          <t>确认系统性风险→入场</t>
        </is>
      </c>
    </row>
    <row r="39">
      <c r="A39" s="330" t="inlineStr">
        <is>
          <t>中期选举</t>
        </is>
      </c>
      <c r="B39" s="330" t="inlineStr">
        <is>
          <t>11月美股跌一波</t>
        </is>
      </c>
      <c r="C39" s="330" t="inlineStr">
        <is>
          <t>你的策略触发</t>
        </is>
      </c>
      <c r="D39" s="330" t="inlineStr">
        <is>
          <t>现金→长电+通富</t>
        </is>
      </c>
      <c r="E39" s="317" t="inlineStr">
        <is>
          <t>落地条件</t>
        </is>
      </c>
      <c r="F39" s="317" t="inlineStr">
        <is>
          <t>状态</t>
        </is>
      </c>
      <c r="G39" s="317" t="inlineStr">
        <is>
          <t>权重</t>
        </is>
      </c>
      <c r="H39" s="317" t="inlineStr">
        <is>
          <t>备注</t>
        </is>
      </c>
    </row>
    <row r="40">
      <c r="A40" s="318" t="inlineStr">
        <is>
          <t>堆叠独立</t>
        </is>
      </c>
      <c r="B40" s="193" t="n"/>
      <c r="C40" s="193" t="n"/>
      <c r="D40" s="193" t="n"/>
      <c r="E40" s="193" t="n"/>
      <c r="F40" s="193" t="n"/>
      <c r="G40" s="193" t="n"/>
      <c r="H40" s="194" t="n"/>
    </row>
    <row r="41">
      <c r="A41" s="318" t="inlineStr">
        <is>
          <t>李大霄
金融界 6/4</t>
        </is>
      </c>
      <c r="B41" s="318" t="inlineStr">
        <is>
          <t>美股窄牛宽熊
仅20只创新高
CAPE40倍→泡沫</t>
        </is>
      </c>
      <c r="C41" s="319" t="inlineStr">
        <is>
          <t>🟢高度契合
确认美股风险
现金策略正确</t>
        </is>
      </c>
      <c r="D41" s="318" t="inlineStr">
        <is>
          <t>美股全市场↓
港股连带承压</t>
        </is>
      </c>
      <c r="E41" s="318" t="inlineStr">
        <is>
          <t>纳指破200日均线
或多数成分股下跌</t>
        </is>
      </c>
      <c r="F41" s="320" t="inlineStr">
        <is>
          <t>⏳未落地
(虚P状态)</t>
        </is>
      </c>
      <c r="G41" s="318" t="inlineStr">
        <is>
          <t>⭐⭐⭐
中高</t>
        </is>
      </c>
      <c r="H41" s="318" t="inlineStr">
        <is>
          <t>6/4三源联动:
恒科-2pp
芯片-1pp
→已记虚P
未转实P</t>
        </is>
      </c>
    </row>
    <row r="42">
      <c r="A42" s="331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42" s="193" t="n"/>
      <c r="C42" s="193" t="n"/>
      <c r="D42" s="193" t="n"/>
      <c r="E42" s="193" t="n"/>
      <c r="F42" s="193" t="n"/>
      <c r="G42" s="193" t="n"/>
      <c r="H42" s="194" t="n"/>
    </row>
    <row r="43">
      <c r="A43" s="332" t="inlineStr">
        <is>
          <t>────────────────────────────────────────────────────────────</t>
        </is>
      </c>
    </row>
    <row r="44">
      <c r="A44" s="333" t="inlineStr">
        <is>
          <t>🔗 三源互锁验证</t>
        </is>
      </c>
    </row>
    <row r="45">
      <c r="A45" s="334" t="inlineStr">
        <is>
          <t>达利欧 × 李大霄</t>
        </is>
      </c>
      <c r="C45" s="335" t="inlineStr">
        <is>
          <t>✅ 强印证</t>
        </is>
      </c>
      <c r="E45" s="336" t="inlineStr">
        <is>
          <t>AI泡沫+窄牛宽熊=同一现象两角度，互相确认</t>
        </is>
      </c>
    </row>
    <row r="46">
      <c r="A46" s="334" t="inlineStr">
        <is>
          <t>达利欧 × 知乎</t>
        </is>
      </c>
      <c r="C46" s="337" t="inlineStr">
        <is>
          <t>⚠️ 部分矛盾</t>
        </is>
      </c>
      <c r="E46" s="336" t="inlineStr">
        <is>
          <t>达利欧看流动性(泡沫将破) vs 知乎看估值(PE中值安全)</t>
        </is>
      </c>
    </row>
    <row r="47">
      <c r="A47" s="334" t="inlineStr">
        <is>
          <t>三源共识</t>
        </is>
      </c>
      <c r="C47" s="338" t="inlineStr">
        <is>
          <t>🔴 核心共识</t>
        </is>
      </c>
      <c r="E47" s="336" t="inlineStr">
        <is>
          <t>AI龙头估值偏高+市场极度集中+中小盘已熊 → 短期风险&gt;机会</t>
        </is>
      </c>
    </row>
    <row r="49">
      <c r="A49" s="326" t="inlineStr">
        <is>
          <t>🎯 结论（虚P→实P转换条件）</t>
        </is>
      </c>
    </row>
    <row r="50">
      <c r="A50" s="334" t="inlineStr">
        <is>
          <t>① 达利欧信号落地条件</t>
        </is>
      </c>
      <c r="C50" s="336" t="inlineStr">
        <is>
          <t>纳指七姐妹出现&gt;15%回调 或 纳指破200日均线</t>
        </is>
      </c>
      <c r="E50" s="339" t="inlineStr">
        <is>
          <t>→ 芯片/恒科虚P转实P → 确认减仓信号</t>
        </is>
      </c>
    </row>
    <row r="51">
      <c r="A51" s="334" t="inlineStr">
        <is>
          <t>② 李大霄信号落地条件</t>
        </is>
      </c>
      <c r="C51" s="336" t="inlineStr">
        <is>
          <t>纳指多数成分股连续下跌+指数拐头</t>
        </is>
      </c>
      <c r="E51" s="339" t="inlineStr">
        <is>
          <t>→ 恒科/芯片虚P转实P → 确认美股系统性风险</t>
        </is>
      </c>
    </row>
    <row r="52">
      <c r="A52" s="334" t="inlineStr">
        <is>
          <t>③ 你的策略触发条件</t>
        </is>
      </c>
      <c r="C52" s="336" t="inlineStr">
        <is>
          <t>中期选举(11月)美股跌一波 + AI回调&gt;15%</t>
        </is>
      </c>
      <c r="E52" s="339" t="inlineStr">
        <is>
          <t>→ 现金入场 → 大仓位进堆叠/先进封装</t>
        </is>
      </c>
    </row>
    <row r="53">
      <c r="A53" s="334" t="inlineStr">
        <is>
          <t>④ 堆叠赛道独立性</t>
        </is>
      </c>
      <c r="C53" s="336" t="inlineStr">
        <is>
          <t>国内产业确定性，三源均未提及国内封测</t>
        </is>
      </c>
      <c r="E53" s="339" t="inlineStr">
        <is>
          <t>→ 不受美股泡沫直接影响 → 等回调后优先配置</t>
        </is>
      </c>
    </row>
    <row r="55">
      <c r="A55" s="340" t="inlineStr">
        <is>
          <t>⚡ 一句话：三源确认AI泡沫风险+你的中期选举策略正确。虚P已记，等落地转实P。现金为王，堆叠赛道等回调后大仓位进。</t>
        </is>
      </c>
    </row>
    <row r="56">
      <c r="A56" s="195" t="inlineStr">
        <is>
          <t>🤖 人形机器人半年事件链</t>
        </is>
      </c>
    </row>
    <row r="58">
      <c r="A58" s="195" t="inlineStr">
        <is>
          <t>2026-03-23 机器人ETF暴跌-4.1%至0.909：市场恐慌+AI回调</t>
        </is>
      </c>
    </row>
    <row r="59">
      <c r="A59" s="195" t="inlineStr">
        <is>
          <t>2026-04-08 机器人ETF暴涨+6.4%至0.967：人形机器人产业催化</t>
        </is>
      </c>
    </row>
    <row r="60">
      <c r="A60" s="195" t="inlineStr">
        <is>
          <t>2026-05-07~22 机器人连续上涨：ETF 1.056→1.216(+15%)，宇树科技73天过会</t>
        </is>
      </c>
    </row>
    <row r="61">
      <c r="A61" s="195" t="inlineStr">
        <is>
          <t>2026-05-25~06-02 机器人回调：1.216→1.122(-7.7%)，仍处强势区间</t>
        </is>
      </c>
    </row>
    <row r="62">
      <c r="A62" s="341" t="inlineStr">
        <is>
          <t>2026-06-04 【保持观察】霍尔木兹海峡Day 12：伊朗暂停谈判+美众议院限制动武，WTI $96→$91-93回落，方向趋于缓和</t>
        </is>
      </c>
      <c r="B62" s="342" t="n"/>
      <c r="C62" s="342" t="n"/>
      <c r="D62" s="342" t="n"/>
      <c r="E62" s="342" t="n"/>
      <c r="F62" s="342" t="n"/>
      <c r="G62" s="342" t="n"/>
      <c r="H62" s="342" t="n"/>
    </row>
    <row r="63">
      <c r="A63" s="343" t="inlineStr">
        <is>
          <t>🔔 待重仓监控</t>
        </is>
      </c>
    </row>
    <row r="64">
      <c r="A64" s="344" t="inlineStr">
        <is>
          <t>标的</t>
        </is>
      </c>
      <c r="B64" s="344" t="inlineStr">
        <is>
          <t>状态</t>
        </is>
      </c>
      <c r="C64" s="344" t="inlineStr">
        <is>
          <t>当前P/价格</t>
        </is>
      </c>
      <c r="D64" s="344" t="inlineStr">
        <is>
          <t>最新信号</t>
        </is>
      </c>
      <c r="E64" s="344" t="inlineStr">
        <is>
          <t>触发条件</t>
        </is>
      </c>
      <c r="F64" s="344" t="inlineStr">
        <is>
          <t>距离触发</t>
        </is>
      </c>
      <c r="G64" s="344" t="inlineStr">
        <is>
          <t>跟踪日期</t>
        </is>
      </c>
    </row>
    <row r="65">
      <c r="A65" s="195" t="inlineStr">
        <is>
          <t>玻璃基板</t>
        </is>
      </c>
      <c r="B65" s="195" t="inlineStr">
        <is>
          <t>深南电路002916/兴森科技002436</t>
        </is>
      </c>
      <c r="C65" s="195" t="inlineStr">
        <is>
          <t>观察中</t>
        </is>
      </c>
      <c r="D65" s="195" t="inlineStr">
        <is>
          <t>蒋宇飞：玻璃基板大规模应用2028年，5-10年赛道</t>
        </is>
      </c>
      <c r="E65" s="195" t="inlineStr">
        <is>
          <t>AI基建+国产替代加速</t>
        </is>
      </c>
      <c r="F65" s="195" t="inlineStr">
        <is>
          <t>中长期</t>
        </is>
      </c>
      <c r="G65" s="195" t="inlineStr">
        <is>
          <t>2026-06-02</t>
        </is>
      </c>
    </row>
    <row r="66">
      <c r="A66" s="332" t="n"/>
    </row>
    <row r="67">
      <c r="A67" s="195" t="inlineStr">
        <is>
          <t>油气对冲</t>
        </is>
      </c>
      <c r="B67" s="195" t="inlineStr">
        <is>
          <t>华宝油气162411</t>
        </is>
      </c>
      <c r="C67" s="195" t="inlineStr">
        <is>
          <t>观察中</t>
        </is>
      </c>
      <c r="D67" s="195" t="inlineStr">
        <is>
          <t>宋鸿兵：霍尔木兹封锁3个月，85%投资者押注回落=幻觉</t>
        </is>
      </c>
      <c r="E67" s="195" t="inlineStr">
        <is>
          <t>油价冲150或海峡持续封锁</t>
        </is>
      </c>
      <c r="F67" s="195" t="inlineStr">
        <is>
          <t>短期</t>
        </is>
      </c>
      <c r="G67" s="195" t="inlineStr">
        <is>
          <t>2026-06-02</t>
        </is>
      </c>
      <c r="H67" s="332" t="inlineStr">
        <is>
          <t>小仓位试水，不对称博弈</t>
        </is>
      </c>
    </row>
    <row r="68">
      <c r="A68" s="195" t="inlineStr">
        <is>
          <t>银行板块(512800)</t>
        </is>
      </c>
      <c r="B68" s="195" t="inlineStr">
        <is>
          <t>弱势</t>
        </is>
      </c>
      <c r="C68" s="195" t="inlineStr">
        <is>
          <t>P:50% 虚P-2pp</t>
        </is>
      </c>
      <c r="D68" s="195" t="inlineStr">
        <is>
          <t>去杠杆+信贷收缩，ETF跌-1%，无催化</t>
        </is>
      </c>
      <c r="E68" s="195" t="inlineStr">
        <is>
          <t>不建议加仓</t>
        </is>
      </c>
      <c r="F68" s="195" t="inlineStr">
        <is>
          <t>短期</t>
        </is>
      </c>
      <c r="G68" s="195" t="inlineStr">
        <is>
          <t>2026-06-03</t>
        </is>
      </c>
      <c r="H68" s="332" t="inlineStr">
        <is>
          <t>银行ETF持续阴跌</t>
        </is>
      </c>
    </row>
    <row r="69">
      <c r="A69" s="195" t="inlineStr">
        <is>
          <t>人形机器人(562500)</t>
        </is>
      </c>
      <c r="B69" s="195" t="inlineStr">
        <is>
          <t>强势</t>
        </is>
      </c>
      <c r="C69" s="195" t="inlineStr">
        <is>
          <t>P:58%(估)</t>
        </is>
      </c>
      <c r="D69" s="195" t="inlineStr">
        <is>
          <t>宇树科技73天过会，ETF涨+11%</t>
        </is>
      </c>
      <c r="E69" s="195" t="inlineStr">
        <is>
          <t>重点关注</t>
        </is>
      </c>
      <c r="F69" s="195" t="inlineStr">
        <is>
          <t>中期</t>
        </is>
      </c>
      <c r="G69" s="195" t="inlineStr">
        <is>
          <t>2026-06-03</t>
        </is>
      </c>
      <c r="H69" s="332" t="inlineStr">
        <is>
          <t>平安先进制造+永赢先进制造</t>
        </is>
      </c>
    </row>
    <row r="70">
      <c r="A70" s="195" t="inlineStr">
        <is>
          <t>存储赛道(5只A股)</t>
        </is>
      </c>
      <c r="B70" s="195" t="inlineStr">
        <is>
          <t>❌降级观察</t>
        </is>
      </c>
      <c r="C70" s="195" t="inlineStr">
        <is>
          <t>P:55% 安全边际不足</t>
        </is>
      </c>
      <c r="D70" s="195" t="inlineStr">
        <is>
          <t>兆易¥525(+81%)/江波龙¥569/佰维¥341→PE天际线，向上空间&lt;向下空间</t>
        </is>
      </c>
      <c r="E70" s="195" t="inlineStr">
        <is>
          <t>等中期选举大跌15%+</t>
        </is>
      </c>
      <c r="F70" s="195" t="inlineStr">
        <is>
          <t>中期</t>
        </is>
      </c>
      <c r="G70" s="195" t="inlineStr">
        <is>
          <t>2026-06-04</t>
        </is>
      </c>
      <c r="H70" s="332" t="inlineStr">
        <is>
          <t>降级：存储涨完轮到堆叠，安全边际已不足</t>
        </is>
      </c>
    </row>
    <row r="71">
      <c r="A71" s="195" t="inlineStr">
        <is>
          <t>澜起科技(688008)</t>
        </is>
      </c>
      <c r="B71" s="195" t="inlineStr">
        <is>
          <t>❌降级观察</t>
        </is>
      </c>
      <c r="C71" s="195" t="inlineStr">
        <is>
          <t>P:55% 安全边际中等</t>
        </is>
      </c>
      <c r="D71" s="195" t="inlineStr">
        <is>
          <t>DDR5接口芯片，温和上涨，但存储赛道整体降级</t>
        </is>
      </c>
      <c r="E71" s="195" t="inlineStr">
        <is>
          <t>等大跌15%+</t>
        </is>
      </c>
      <c r="F71" s="195" t="inlineStr">
        <is>
          <t>中期</t>
        </is>
      </c>
      <c r="G71" s="195" t="inlineStr">
        <is>
          <t>2026-06-04</t>
        </is>
      </c>
      <c r="H71" s="332" t="inlineStr">
        <is>
          <t>降级：存储赛道尾声</t>
        </is>
      </c>
    </row>
    <row r="72">
      <c r="A72" s="345" t="inlineStr">
        <is>
          <t>🔥堆叠/先进封装赛道（蒋宇飞"星光纯叠"框架）</t>
        </is>
      </c>
    </row>
    <row r="73">
      <c r="A73" s="195" t="inlineStr">
        <is>
          <t>长电科技(600584)</t>
        </is>
      </c>
      <c r="B73" s="195" t="inlineStr">
        <is>
          <t>🔴核心标的</t>
        </is>
      </c>
      <c r="C73" s="195" t="inlineStr">
        <is>
          <t>P:75%+ PE30x</t>
        </is>
      </c>
      <c r="D73" s="195" t="inlineStr">
        <is>
          <t>全球第三大封测厂，2.5D/3D量产级，客户广度最强（高通/海思/TI）</t>
        </is>
      </c>
      <c r="E73" s="195" t="inlineStr">
        <is>
          <t>等中期选举大跌</t>
        </is>
      </c>
      <c r="F73" s="195" t="inlineStr">
        <is>
          <t>中期</t>
        </is>
      </c>
      <c r="G73" s="195" t="inlineStr">
        <is>
          <t>2026-06-04</t>
        </is>
      </c>
      <c r="H73" s="332" t="inlineStr">
        <is>
          <t>安全边际大，堆叠赛道首选</t>
        </is>
      </c>
    </row>
    <row r="74">
      <c r="A74" s="195" t="inlineStr">
        <is>
          <t>通富微电(002156)</t>
        </is>
      </c>
      <c r="B74" s="195" t="inlineStr">
        <is>
          <t>🔴核心标的</t>
        </is>
      </c>
      <c r="C74" s="195" t="inlineStr">
        <is>
          <t>P:75%+ 待查PE</t>
        </is>
      </c>
      <c r="D74" s="195" t="inlineStr">
        <is>
          <t>AMD封测全线突破通道，2.5D量产，MI300X参与，不可替代</t>
        </is>
      </c>
      <c r="E74" s="195" t="inlineStr">
        <is>
          <t>等中期选举大跌</t>
        </is>
      </c>
      <c r="F74" s="195" t="inlineStr">
        <is>
          <t>中期</t>
        </is>
      </c>
      <c r="G74" s="195" t="inlineStr">
        <is>
          <t>2026-06-04</t>
        </is>
      </c>
      <c r="H74" s="332" t="inlineStr">
        <is>
          <t>安全边际中偏大，与长电各占一半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346" t="inlineStr">
        <is>
          <t>💰 资金分配总纲 (2026-06-07 蒋宇飞179视频+用户判断+机会成本)</t>
        </is>
      </c>
    </row>
    <row r="2">
      <c r="A2" s="332" t="inlineStr">
        <is>
          <t>【Hermes+小龙多轮联合审核】第1轮：小龙审7个问题→第2轮：Hermes反审7个问题→小龙逐条回应修正</t>
        </is>
      </c>
      <c r="B2" s="332" t="n"/>
    </row>
    <row r="3">
      <c r="B3" s="332" t="n"/>
    </row>
    <row r="4">
      <c r="A4" s="347" t="inlineStr">
        <is>
          <t>一、资金总览</t>
        </is>
      </c>
      <c r="B4" s="332" t="n"/>
    </row>
    <row r="5">
      <c r="A5" s="348" t="inlineStr">
        <is>
          <t>持仓50%=养殖25%|芯片10%|电池5%|恒科2.5%|有色2.5%|稀金2.5%|银行1.5%</t>
        </is>
      </c>
    </row>
    <row r="6">
      <c r="A6" s="332" t="inlineStr">
        <is>
          <t>现金50%=锁定40%(等11月大跌进长电25+通富20)+可动用10%</t>
        </is>
      </c>
    </row>
    <row r="7">
      <c r="A7" s="332" t="inlineStr">
        <is>
          <t>【资金来源】现金50%+卖恒科2.5%(P=27%)+有色稀金5%(P低)+养殖减半12.5%+芯片可选5%=70-85%。方案消耗75%够覆盖</t>
        </is>
      </c>
    </row>
    <row r="8">
      <c r="A8" s="332" t="n"/>
    </row>
    <row r="9">
      <c r="A9" s="346" t="inlineStr">
        <is>
          <t>二、蒋宇飞「星光纯叠」框架（顶级置信度，179视频逐条提取）</t>
        </is>
      </c>
    </row>
    <row r="10">
      <c r="A10" s="332" t="inlineStr">
        <is>
          <t>星(芯)=CPU/GPU | 光=光模块 | 纯(存)=DRAM/Flash/HBM/SSD | 叠=CoWoS/2.5D/3D先进封装</t>
        </is>
      </c>
    </row>
    <row r="11">
      <c r="A11" s="332" t="inlineStr">
        <is>
          <t>节奏：光贯穿2026→存储2026吃肉(已验证海力士13倍)→堆叠2027大放。2027算力长城=升腾+长鑫+DeepSeek</t>
        </is>
      </c>
    </row>
    <row r="12">
      <c r="A12" s="332" t="inlineStr">
        <is>
          <t>风控提示：存储将来跌80% | 消费级2027见顶 | HBM分销修正70-80% | 纪律：三成追热点七成等回调</t>
        </is>
      </c>
    </row>
    <row r="14">
      <c r="A14" s="346" t="inlineStr">
        <is>
          <t>三、各赛道详细操作计划（每个都有来龙去脉）</t>
        </is>
      </c>
    </row>
    <row r="16">
      <c r="A16" s="349" t="inlineStr">
        <is>
          <t>▶ MLCC被动元件 5.5%（含恒科清出2.5%）</t>
        </is>
      </c>
    </row>
    <row r="17">
      <c r="A17" s="332" t="inlineStr">
        <is>
          <t>【为什么买】蒋宇飞4月底预测MLCC启动，5月即涨。说"不亚于半年前荐存储"（存储半年涨13倍）。国巨成台湾首富。日韩停产中低端→中国MLCC爆发。行情到2027-H1</t>
        </is>
      </c>
    </row>
    <row r="18">
      <c r="A18" s="332" t="inlineStr">
        <is>
          <t>【买什么】风华高科(000636)≈300股≈8250元。MLCC营收占比58%，最接近纯暴露。不买科技ETF凑合（小龙裁定）</t>
        </is>
      </c>
    </row>
    <row r="19">
      <c r="A19" s="332" t="inlineStr">
        <is>
          <t>【恒科为什么清】P=27%三条信号同向。蒋宇飞"传统互联网老灯鼓"是行业判断，"腾讯黄金坑"是个股判断。恒科≠腾讯（腾讯只占30%）。看好腾讯应买个股。清出2.5%转MLCC</t>
        </is>
      </c>
    </row>
    <row r="20">
      <c r="A20" s="332" t="inlineStr">
        <is>
          <t>【什么时候进】现在（6-7月）</t>
        </is>
      </c>
    </row>
    <row r="21">
      <c r="A21" s="332" t="inlineStr">
        <is>
          <t>【什么时候出】11-12月必须清仓（蒋宇飞说年底见顶）。资金转HBM或堆叠先手</t>
        </is>
      </c>
    </row>
    <row r="22">
      <c r="A22" s="332" t="inlineStr">
        <is>
          <t>【风控】5.5%仓位，错了亏2000-3000不致命。年底不管赚亏都清</t>
        </is>
      </c>
    </row>
    <row r="24">
      <c r="A24" s="350" t="inlineStr">
        <is>
          <t>▶ HBM产业链 5%</t>
        </is>
      </c>
    </row>
    <row r="25">
      <c r="A25" s="332" t="inlineStr">
        <is>
          <t>【为什么买】蒋宇飞"HBM未来1.5-2.5年波涛汹涌""Q4-Q1波澜壮阔热潮"。HBM是AI技术含量最高的存储，目前最紧缺</t>
        </is>
      </c>
    </row>
    <row r="26">
      <c r="A26" s="332" t="inlineStr">
        <is>
          <t>【什么时候进】2026-Q4（10-12月），MLCC清仓后资金转入</t>
        </is>
      </c>
    </row>
    <row r="27">
      <c r="A27" s="332" t="inlineStr">
        <is>
          <t>【什么时候出】2027-Q1热潮结束观察。蒋宇飞说热潮在四季度至明年一季度展开</t>
        </is>
      </c>
    </row>
    <row r="28">
      <c r="A28" s="332" t="inlineStr">
        <is>
          <t>【风控】5%不大。Q4不启动就继续等，不急着进</t>
        </is>
      </c>
    </row>
    <row r="30">
      <c r="A30" s="346" t="inlineStr">
        <is>
          <t>▶ 堆叠/先进封装 长电25%+通富20%=45%（核心重仓）</t>
        </is>
      </c>
    </row>
    <row r="31">
      <c r="A31" s="332" t="inlineStr">
        <is>
          <t>【为什么买】蒋宇飞27条堆叠视频反复强调"未来两年最大风口""一年半大放光芒""改变家族命运""躺赢"。堆叠=CoWoS/2.5D/3D=突破存算一体。封装成本占存储芯片20%。P=75%</t>
        </is>
      </c>
    </row>
    <row r="32">
      <c r="A32" s="332" t="inlineStr">
        <is>
          <t>【P=75%四源交叉确认】达利欧(宏观泡沫年底崩→回调买入)+李大霄(A股窄牛宽熊→等低位)+用户(中期选举大跌=买入时机)+蒋宇飞(产业27条)。四套独立框架交集→小龙说P可能估低</t>
        </is>
      </c>
    </row>
    <row r="33">
      <c r="A33" s="332" t="inlineStr">
        <is>
          <t>【为什么长电+通富】长电=全球第三大封测，2.5D/3D量产，客户高通/海思/TI。通富=AMD封测全线突破，MI300X参与，不可替代</t>
        </is>
      </c>
    </row>
    <row r="34">
      <c r="A34" s="332" t="inlineStr">
        <is>
          <t>【分三批进-小龙裁定】第一批15%(跌15%触发)→第二批15%(再跌10%或横盘2月)→第三批15%(产业验证)。涨20%后分两批加速到30%。小龙逻辑：30%翻倍&gt;45%被洗，仓位轻=拿得住=吃全涨幅</t>
        </is>
      </c>
    </row>
    <row r="35">
      <c r="A35" s="332" t="inlineStr">
        <is>
          <t>【什么时候进】等11月美股大跌15%+。触发三选一：①达利欧泡沫落地 ②纳指破200日均线 ③中期选举大跌</t>
        </is>
      </c>
    </row>
    <row r="36">
      <c r="A36" s="332" t="inlineStr">
        <is>
          <t>【Plan B-小龙裁定】锁到2027-01-31（三个月窗口：11月选举+12月圣诞行情+1月调仓）。逾期进40%留20%。替代触发三选一：芯片PE&lt;40分位/蒋宇飞说进/月线连阴3月</t>
        </is>
      </c>
    </row>
    <row r="37">
      <c r="A37" s="332" t="inlineStr">
        <is>
          <t>【先手仓位】Q4先建5%（长电3%+通富2%），等回调后进大仓位。符合蒋宇飞"三成追七成等"纪律</t>
        </is>
      </c>
    </row>
    <row r="38">
      <c r="A38" s="332" t="inlineStr">
        <is>
          <t>【风控】45%×70%回撤=31.5%总资金蒸发（蒋宇飞自己说HBM分销修正70-80%）。分三批=赌价格区间胜率翻倍</t>
        </is>
      </c>
    </row>
    <row r="40">
      <c r="A40" s="350" t="inlineStr">
        <is>
          <t>▶ 国产算力/升腾链 8%</t>
        </is>
      </c>
    </row>
    <row r="41">
      <c r="A41" s="332" t="inlineStr">
        <is>
          <t>【为什么买】蒋宇飞"2027算力长城最闪亮""升腾链2027爆发""升腾950明年出货"。工信部要求支持国产芯片</t>
        </is>
      </c>
    </row>
    <row r="42">
      <c r="A42" s="332" t="inlineStr">
        <is>
          <t>【什么时候进】2027年。触发：华为升腾950大批出货/工信部政策加码</t>
        </is>
      </c>
    </row>
    <row r="43">
      <c r="A43" s="332" t="inlineStr">
        <is>
          <t>【风控】等2027，当前只看不动</t>
        </is>
      </c>
    </row>
    <row r="45">
      <c r="A45" s="350" t="inlineStr">
        <is>
          <t>▶ 机器人(物理AI) 4% + 科创AI(027048) 6% = 10%科技前沿</t>
        </is>
      </c>
    </row>
    <row r="46">
      <c r="A46" s="332" t="inlineStr">
        <is>
          <t>【为什么买】用户判断机器人&gt;黄金&gt;比特币。蒋宇飞交叉验证：179视频0次提比特币。"未来经济三层=物理人→钢铁机器人→网络agent"。宇树科技73天过会</t>
        </is>
      </c>
    </row>
    <row r="47">
      <c r="A47" s="332" t="inlineStr">
        <is>
          <t>【标的困境-小龙分析】562500不是纯机器人暴露(成分公司机器人营收&lt;20%，半年波动66%)。纯机器人公司(宇树/Figure)没上市。替代：科创AI(027048)6%覆盖AI+机器人+算力</t>
        </is>
      </c>
    </row>
    <row r="48">
      <c r="A48" s="332" t="inlineStr">
        <is>
          <t>【什么时候进】2027冬开始逐步建。机器人是中长期赛道，不急</t>
        </is>
      </c>
    </row>
    <row r="49">
      <c r="A49" s="332" t="inlineStr">
        <is>
          <t>【风控】4%不大。科创AI6%分散风险。合计10%科技前沿暴露，比单一562500更安全</t>
        </is>
      </c>
    </row>
    <row r="51">
      <c r="A51" s="350" t="inlineStr">
        <is>
          <t>▶ 玻璃基板 2%</t>
        </is>
      </c>
    </row>
    <row r="52">
      <c r="A52" s="332" t="inlineStr">
        <is>
          <t>【为什么买】蒋宇飞"被严重低估即将爆发""两三年热点""业绩2027-H2释放""大规模2028"。两个爆发点：封装+存储</t>
        </is>
      </c>
    </row>
    <row r="53">
      <c r="A53" s="332" t="inlineStr">
        <is>
          <t>【什么时候进】2027年等业绩释放。蒋宇飞说"消息还在送验阶段"</t>
        </is>
      </c>
    </row>
    <row r="54">
      <c r="A54" s="332" t="inlineStr">
        <is>
          <t>【风控】2%观察仓，等消息确认</t>
        </is>
      </c>
    </row>
    <row r="56">
      <c r="A56" s="346" t="inlineStr">
        <is>
          <t>四、进钱节奏时间线</t>
        </is>
      </c>
    </row>
    <row r="58">
      <c r="A58" s="351" t="inlineStr">
        <is>
          <t>时间</t>
        </is>
      </c>
      <c r="B58" s="351" t="inlineStr">
        <is>
          <t>进钱操作</t>
        </is>
      </c>
      <c r="C58" s="351" t="inlineStr">
        <is>
          <t>持仓操作</t>
        </is>
      </c>
      <c r="D58" s="351" t="inlineStr">
        <is>
          <t>清仓退出</t>
        </is>
      </c>
      <c r="E58" s="351" t="inlineStr">
        <is>
          <t>可用现金</t>
        </is>
      </c>
    </row>
    <row r="59">
      <c r="A59" s="332" t="inlineStr">
        <is>
          <t>现在-7月</t>
        </is>
      </c>
      <c r="B59" s="332" t="inlineStr">
        <is>
          <t>MLCC5.5%建仓(风华高科)</t>
        </is>
      </c>
      <c r="C59" s="332" t="inlineStr">
        <is>
          <t>芯片10%不动(虚P+3pp)</t>
        </is>
      </c>
      <c r="D59" s="332" t="inlineStr">
        <is>
          <t>-</t>
        </is>
      </c>
      <c r="E59" s="332" t="inlineStr">
        <is>
          <t>~7%</t>
        </is>
      </c>
    </row>
    <row r="60">
      <c r="A60" s="332" t="inlineStr">
        <is>
          <t>8-10月</t>
        </is>
      </c>
      <c r="B60" s="332" t="inlineStr">
        <is>
          <t>MLCC持有享肉</t>
        </is>
      </c>
      <c r="C60" s="332" t="inlineStr">
        <is>
          <t>观察HBM启动信号</t>
        </is>
      </c>
      <c r="D60" s="332" t="inlineStr">
        <is>
          <t>-</t>
        </is>
      </c>
      <c r="E60" s="332" t="inlineStr">
        <is>
          <t>~7%</t>
        </is>
      </c>
    </row>
    <row r="61">
      <c r="A61" s="332" t="inlineStr">
        <is>
          <t>11月大跌</t>
        </is>
      </c>
      <c r="B61" s="332" t="inlineStr">
        <is>
          <t>堆叠三批45%(长电25+通富20)</t>
        </is>
      </c>
      <c r="C61" s="332" t="inlineStr">
        <is>
          <t>MLCC清→HBM5%+堆叠先手5%</t>
        </is>
      </c>
      <c r="D61" s="332" t="inlineStr">
        <is>
          <t>MLCC清</t>
        </is>
      </c>
      <c r="E61" s="332" t="inlineStr">
        <is>
          <t>0%</t>
        </is>
      </c>
    </row>
    <row r="62">
      <c r="A62" s="332" t="inlineStr">
        <is>
          <t>11月没大跌</t>
        </is>
      </c>
      <c r="B62" s="332" t="inlineStr">
        <is>
          <t>堆叠先手5%(长电3+通富2)</t>
        </is>
      </c>
      <c r="C62" s="332" t="inlineStr">
        <is>
          <t>MLCC清→等</t>
        </is>
      </c>
      <c r="D62" s="332" t="inlineStr">
        <is>
          <t>MLCC清</t>
        </is>
      </c>
      <c r="E62" s="332" t="inlineStr">
        <is>
          <t>0-2%</t>
        </is>
      </c>
    </row>
    <row r="63">
      <c r="A63" s="332" t="inlineStr">
        <is>
          <t>1/31仍没大跌</t>
        </is>
      </c>
      <c r="B63" s="332" t="inlineStr">
        <is>
          <t>PlanB：进40%留20%</t>
        </is>
      </c>
      <c r="C63" s="332" t="inlineStr">
        <is>
          <t>等</t>
        </is>
      </c>
      <c r="D63" s="332" t="inlineStr">
        <is>
          <t>-</t>
        </is>
      </c>
      <c r="E63" s="332" t="inlineStr">
        <is>
          <t>~20%</t>
        </is>
      </c>
    </row>
    <row r="64">
      <c r="A64" s="332" t="inlineStr">
        <is>
          <t>2027-Q1</t>
        </is>
      </c>
      <c r="B64" s="332" t="inlineStr">
        <is>
          <t>HBM持有</t>
        </is>
      </c>
      <c r="C64" s="332" t="inlineStr">
        <is>
          <t>堆叠先手持有</t>
        </is>
      </c>
      <c r="D64" s="332" t="inlineStr">
        <is>
          <t>-</t>
        </is>
      </c>
      <c r="E64" s="332" t="inlineStr">
        <is>
          <t>-</t>
        </is>
      </c>
    </row>
    <row r="65">
      <c r="A65" s="332" t="inlineStr">
        <is>
          <t>2027-H2</t>
        </is>
      </c>
      <c r="B65" s="332" t="inlineStr">
        <is>
          <t>升腾8%+玻璃2%</t>
        </is>
      </c>
      <c r="C65" s="332" t="inlineStr">
        <is>
          <t>堆叠满仓躺赢</t>
        </is>
      </c>
      <c r="D65" s="332" t="inlineStr">
        <is>
          <t>-</t>
        </is>
      </c>
      <c r="E65" s="332" t="inlineStr">
        <is>
          <t>-</t>
        </is>
      </c>
    </row>
    <row r="66">
      <c r="A66" s="332" t="inlineStr">
        <is>
          <t>2027冬</t>
        </is>
      </c>
      <c r="B66" s="332" t="inlineStr">
        <is>
          <t>机器人4%+科创AI6%</t>
        </is>
      </c>
      <c r="C66" s="332" t="inlineStr">
        <is>
          <t>算力出海观察</t>
        </is>
      </c>
      <c r="D66" s="332" t="inlineStr">
        <is>
          <t>存储清(跌80%)</t>
        </is>
      </c>
      <c r="E66" s="332" t="inlineStr">
        <is>
          <t>-</t>
        </is>
      </c>
    </row>
    <row r="68">
      <c r="A68" s="346" t="inlineStr">
        <is>
          <t>⚡ 一句话：MLCC5.5%小试→Q4 HBM5%+堆叠先手5%→11月堆叠三批45%→2027升腾8%+机器人4%+玻璃2%+科创AI6%</t>
        </is>
      </c>
    </row>
    <row r="69">
      <c r="A69" s="332" t="inlineStr">
        <is>
          <t>风控底线：45%必须等15%+回调分三批 | MLCC年底必清 | 蒋宇飞纪律'三成追七成等' | PlanB锁到2027-01-31</t>
        </is>
      </c>
    </row>
    <row r="70">
      <c r="A70" s="332" t="inlineStr">
        <is>
          <t>持仓调整：养殖25%→12.5% | 恒科清 | 有色+稀金清 | 芯片可选减半 | 电池+银行不动 | 保留现金~10%</t>
        </is>
      </c>
    </row>
    <row r="71">
      <c r="A71" s="314" t="inlineStr">
        <is>
          <t>📖 机制库 v3（2026-06-04 经小龙虾审核修订）</t>
        </is>
      </c>
    </row>
    <row r="72">
      <c r="A72" s="352" t="inlineStr">
        <is>
          <t>[机制3v3] 现金锁定系数（CLC）— 平方衰减版</t>
        </is>
      </c>
    </row>
    <row r="73">
      <c r="A73" s="353" t="inlineStr">
        <is>
          <t>叫什么</t>
        </is>
      </c>
      <c r="B73" s="195" t="inlineStr">
        <is>
          <t>现金锁定系数（CLC）v3</t>
        </is>
      </c>
    </row>
    <row r="74">
      <c r="A74" s="353" t="inlineStr">
        <is>
          <t>公式</t>
        </is>
      </c>
      <c r="B74" s="195" t="inlineStr">
        <is>
          <t>CLC = 信号概率 × 互锁强度 × 时间衰减²</t>
        </is>
      </c>
    </row>
    <row r="75">
      <c r="A75" s="353" t="inlineStr">
        <is>
          <t>时间衰减</t>
        </is>
      </c>
      <c r="B75" s="195" t="inlineStr">
        <is>
          <t>T = (距触发月数/12)²</t>
        </is>
      </c>
      <c r="C75" s="195" t="inlineStr">
        <is>
          <t>6月=(5/12)²=0.174</t>
        </is>
      </c>
      <c r="D75" s="195" t="inlineStr">
        <is>
          <t>11月=0</t>
        </is>
      </c>
    </row>
    <row r="76">
      <c r="A76" s="353" t="inlineStr">
        <is>
          <t>为什么平方</t>
        </is>
      </c>
      <c r="B76" s="195" t="inlineStr">
        <is>
          <t>线性衰减导致越近触发日锁得越少（反直觉）</t>
        </is>
      </c>
      <c r="C76" s="195" t="inlineStr">
        <is>
          <t>平方函数：远离时多锁，临近时少锁</t>
        </is>
      </c>
      <c r="D76" s="195" t="inlineStr">
        <is>
          <t>小龙虾审核通过</t>
        </is>
      </c>
    </row>
    <row r="77">
      <c r="A77" s="353" t="inlineStr">
        <is>
          <t>信号概率</t>
        </is>
      </c>
      <c r="B77" s="195" t="inlineStr">
        <is>
          <t>动态更新，每月审查</t>
        </is>
      </c>
      <c r="C77" s="195" t="inlineStr">
        <is>
          <t>底线55%（达利欧区间下沿）</t>
        </is>
      </c>
      <c r="D77" s="195" t="inlineStr">
        <is>
          <t>上限85%（达利欧区间上沿）</t>
        </is>
      </c>
    </row>
    <row r="78">
      <c r="A78" s="353" t="inlineStr">
        <is>
          <t>互锁强度</t>
        </is>
      </c>
      <c r="B78" s="195" t="inlineStr">
        <is>
          <t>三源强互锁=1.0</t>
        </is>
      </c>
      <c r="C78" s="195" t="inlineStr">
        <is>
          <t>达利欧6月修正&gt;2次→降级0.85</t>
        </is>
      </c>
      <c r="D78" s="195" t="inlineStr">
        <is>
          <t>有原因修正不降级</t>
        </is>
      </c>
    </row>
    <row r="79">
      <c r="A79" s="353" t="inlineStr">
        <is>
          <t>当前值</t>
        </is>
      </c>
      <c r="B79" s="195" t="inlineStr">
        <is>
          <t>0.70 × 1.0 × (5/12)² = 0.122</t>
        </is>
      </c>
      <c r="C79" s="195" t="inlineStr">
        <is>
          <t>→ 锁定12.2%现金</t>
        </is>
      </c>
      <c r="D79" s="195" t="inlineStr">
        <is>
          <t>可用87.8%</t>
        </is>
      </c>
    </row>
    <row r="80">
      <c r="A80" s="353" t="inlineStr">
        <is>
          <t>每月重算</t>
        </is>
      </c>
      <c r="B80" s="193" t="n"/>
      <c r="C80" s="193" t="n"/>
      <c r="D80" s="193" t="n"/>
      <c r="E80" s="193" t="n"/>
      <c r="F80" s="193" t="n"/>
      <c r="G80" s="193" t="n"/>
      <c r="H80" s="194" t="n"/>
    </row>
    <row r="82">
      <c r="A82" s="352" t="inlineStr">
        <is>
          <t>[机制4v3] 折后仓位计算 — 4级分级版</t>
        </is>
      </c>
    </row>
    <row r="83">
      <c r="A83" s="353" t="inlineStr">
        <is>
          <t>叫什么</t>
        </is>
      </c>
      <c r="B83" s="195" t="inlineStr">
        <is>
          <t>折后仓位（Folded Allocation）v3</t>
        </is>
      </c>
    </row>
    <row r="84">
      <c r="A84" s="353" t="inlineStr">
        <is>
          <t>公式</t>
        </is>
      </c>
      <c r="B84" s="195" t="inlineStr">
        <is>
          <t>折后仓位% = 原目标仓位% × (1 - CLC × β系数)</t>
        </is>
      </c>
    </row>
    <row r="85">
      <c r="A85" s="353" t="inlineStr">
        <is>
          <t>4级分级</t>
        </is>
      </c>
      <c r="B85" s="195" t="inlineStr">
        <is>
          <t>L1高度暴露β=0.8（通富-AMD独供）</t>
        </is>
      </c>
      <c r="C85" s="195" t="inlineStr">
        <is>
          <t>L2中度暴露β=0.5（长电-客户多元）</t>
        </is>
      </c>
    </row>
    <row r="86">
      <c r="A86" s="353" t="inlineStr">
        <is>
          <t>分级继续</t>
        </is>
      </c>
      <c r="B86" s="195" t="inlineStr">
        <is>
          <t>L3弱相关β=0.1（养殖）</t>
        </is>
      </c>
      <c r="C86" s="195" t="inlineStr">
        <is>
          <t>L4反向受益β=-0.3（黄金）</t>
        </is>
      </c>
    </row>
    <row r="87">
      <c r="A87" s="353" t="inlineStr">
        <is>
          <t>为什么分级</t>
        </is>
      </c>
      <c r="B87" s="195" t="inlineStr">
        <is>
          <t>不同标的受AI泡沫影响不同</t>
        </is>
      </c>
      <c r="C87" s="195" t="inlineStr">
        <is>
          <t>通富只有AMD一根柱子</t>
        </is>
      </c>
      <c r="D87" s="195" t="inlineStr">
        <is>
          <t>长电客户多元化</t>
        </is>
      </c>
    </row>
    <row r="88">
      <c r="A88" s="353" t="inlineStr">
        <is>
          <t>当前计算</t>
        </is>
      </c>
      <c r="B88" s="195" t="inlineStr">
        <is>
          <t>通富:33%×(1-0.122×0.8)=30.1%</t>
        </is>
      </c>
      <c r="C88" s="195" t="inlineStr">
        <is>
          <t>长电:37%×(1-0.122×0.5)=34.7%</t>
        </is>
      </c>
    </row>
    <row r="89">
      <c r="A89" s="353" t="inlineStr">
        <is>
          <t>分级逻辑</t>
        </is>
      </c>
      <c r="B89" s="193" t="n"/>
      <c r="C89" s="193" t="n"/>
      <c r="D89" s="193" t="n"/>
      <c r="E89" s="193" t="n"/>
      <c r="F89" s="193" t="n"/>
      <c r="G89" s="193" t="n"/>
      <c r="H89" s="194" t="n"/>
    </row>
    <row r="91">
      <c r="A91" s="352" t="inlineStr">
        <is>
          <t>[机制5v3] 虚P→实P转换 — 确认窗口+因果链版</t>
        </is>
      </c>
    </row>
    <row r="92">
      <c r="A92" s="353" t="inlineStr">
        <is>
          <t>叫什么</t>
        </is>
      </c>
      <c r="B92" s="195" t="inlineStr">
        <is>
          <t>虚P→实P转换 v3</t>
        </is>
      </c>
    </row>
    <row r="93">
      <c r="A93" s="353" t="inlineStr">
        <is>
          <t>视觉信号</t>
        </is>
      </c>
      <c r="B93" s="195" t="inlineStr">
        <is>
          <t>纳指七姐妹&gt;15%回调（从52周高）</t>
        </is>
      </c>
      <c r="C93" s="195" t="inlineStr">
        <is>
          <t>或破200日均线</t>
        </is>
      </c>
    </row>
    <row r="94">
      <c r="A94" s="353" t="inlineStr">
        <is>
          <t>确认窗口</t>
        </is>
      </c>
      <c r="B94" s="195" t="inlineStr">
        <is>
          <t>跌穿15%后维持5个交易日不反弹</t>
        </is>
      </c>
      <c r="C94" s="195" t="inlineStr">
        <is>
          <t>防单日噪音和假触发</t>
        </is>
      </c>
      <c r="D94" s="195" t="inlineStr">
        <is>
          <t>小龙虾建议</t>
        </is>
      </c>
    </row>
    <row r="95">
      <c r="A95" s="353" t="inlineStr">
        <is>
          <t>因果链</t>
        </is>
      </c>
      <c r="B95" s="195" t="inlineStr">
        <is>
          <t>需至少2条佐证：</t>
        </is>
      </c>
      <c r="C95" s="195" t="inlineStr">
        <is>
          <t>①英伟达/AMD下调指引</t>
        </is>
      </c>
      <c r="D95" s="195" t="inlineStr">
        <is>
          <t>②AI ETF资金流出</t>
        </is>
      </c>
    </row>
    <row r="96">
      <c r="A96" s="353" t="inlineStr">
        <is>
          <t>因果链继续</t>
        </is>
      </c>
      <c r="B96" s="195" t="inlineStr">
        <is>
          <t>③投行下调AI评级</t>
        </is>
      </c>
      <c r="C96" s="195" t="inlineStr">
        <is>
          <t>④Mag7裁员/削减开支</t>
        </is>
      </c>
    </row>
    <row r="97">
      <c r="A97" s="353" t="inlineStr">
        <is>
          <t>为什么加因果</t>
        </is>
      </c>
      <c r="B97" s="195" t="inlineStr">
        <is>
          <t>15%下跌可能是地缘冲击不是AI泡沫</t>
        </is>
      </c>
      <c r="C97" s="195" t="inlineStr">
        <is>
          <t>两者操作完全不同</t>
        </is>
      </c>
      <c r="D97" s="195" t="inlineStr">
        <is>
          <t>必须区分原因</t>
        </is>
      </c>
    </row>
    <row r="98">
      <c r="A98" s="353" t="inlineStr">
        <is>
          <t>转换后</t>
        </is>
      </c>
      <c r="B98" s="193" t="n"/>
      <c r="C98" s="193" t="n"/>
      <c r="D98" s="193" t="n"/>
      <c r="E98" s="193" t="n"/>
      <c r="F98" s="193" t="n"/>
      <c r="G98" s="193" t="n"/>
      <c r="H98" s="194" t="n"/>
    </row>
    <row r="100">
      <c r="A100" s="354" t="inlineStr">
        <is>
          <t>[信号计分板] 每日更新，驱动信号概率动态调整</t>
        </is>
      </c>
    </row>
    <row r="101">
      <c r="A101" s="353" t="inlineStr">
        <is>
          <t>泡沫正向信号</t>
        </is>
      </c>
      <c r="B101" s="195" t="inlineStr">
        <is>
          <t>Mag7单日跌&gt;3% → +1</t>
        </is>
      </c>
      <c r="C101" s="195" t="inlineStr">
        <is>
          <t>Mag7月跌&gt;10% → +2</t>
        </is>
      </c>
    </row>
    <row r="102">
      <c r="B102" s="195" t="inlineStr">
        <is>
          <t>VIX&gt;30 → +2</t>
        </is>
      </c>
      <c r="C102" s="195" t="inlineStr">
        <is>
          <t>AI公司裁员/下调指引 → +1</t>
        </is>
      </c>
    </row>
    <row r="103">
      <c r="B103" s="195" t="inlineStr">
        <is>
          <t>信用利差&gt;150bp → +2</t>
        </is>
      </c>
    </row>
    <row r="104">
      <c r="A104" s="353" t="inlineStr">
        <is>
          <t>泡沫反向信号</t>
        </is>
      </c>
      <c r="B104" s="195" t="inlineStr">
        <is>
          <t>Mag7单日涨&gt;3% → -1</t>
        </is>
      </c>
      <c r="C104" s="195" t="inlineStr">
        <is>
          <t>Mag7月涨&gt;8% → -2</t>
        </is>
      </c>
    </row>
    <row r="105">
      <c r="B105" s="195" t="inlineStr">
        <is>
          <t>Fed降息 → -2</t>
        </is>
      </c>
      <c r="C105" s="195" t="inlineStr">
        <is>
          <t>AI龙头超预期财报 → -1</t>
        </is>
      </c>
    </row>
    <row r="106">
      <c r="B106" s="195" t="inlineStr">
        <is>
          <t>VIX&lt;15 → -1</t>
        </is>
      </c>
    </row>
    <row r="107">
      <c r="A107" s="353" t="inlineStr">
        <is>
          <t>更新规则</t>
        </is>
      </c>
      <c r="B107" s="195" t="inlineStr">
        <is>
          <t>每月第一天：信号概率=70%+上月净计分×5pp</t>
        </is>
      </c>
      <c r="C107" s="195" t="inlineStr">
        <is>
          <t>底线55%上限85%</t>
        </is>
      </c>
    </row>
    <row r="108">
      <c r="A108" s="353" t="inlineStr">
        <is>
          <t>Mag7权重</t>
        </is>
      </c>
      <c r="B108" s="193" t="n"/>
      <c r="C108" s="193" t="n"/>
      <c r="D108" s="193" t="n"/>
      <c r="E108" s="193" t="n"/>
      <c r="F108" s="193" t="n"/>
      <c r="G108" s="193" t="n"/>
      <c r="H108" s="194" t="n"/>
    </row>
    <row r="110">
      <c r="A110" s="354" t="inlineStr">
        <is>
          <t>⚡ 机制v3使用指南</t>
        </is>
      </c>
    </row>
    <row r="111">
      <c r="A111" s="353" t="inlineStr">
        <is>
          <t>日常看盘</t>
        </is>
      </c>
      <c r="B111" s="195" t="inlineStr">
        <is>
          <t>看机会成本排序Sheet折后仓位</t>
        </is>
      </c>
      <c r="C111" s="195" t="inlineStr">
        <is>
          <t>看现金锁定状态</t>
        </is>
      </c>
    </row>
    <row r="112">
      <c r="A112" s="353" t="inlineStr">
        <is>
          <t>每日更新</t>
        </is>
      </c>
      <c r="B112" s="195" t="inlineStr">
        <is>
          <t>信号计分板逐股计分</t>
        </is>
      </c>
      <c r="C112" s="195" t="inlineStr">
        <is>
          <t>净计分累计</t>
        </is>
      </c>
    </row>
    <row r="113">
      <c r="A113" s="353" t="inlineStr">
        <is>
          <t>每月重算</t>
        </is>
      </c>
      <c r="B113" s="195" t="inlineStr">
        <is>
          <t>①信号概率=70%+净计分×5pp</t>
        </is>
      </c>
      <c r="C113" s="195" t="inlineStr">
        <is>
          <t>②CLC=信号概率×互锁×时间衰减²</t>
        </is>
      </c>
      <c r="D113" s="195" t="inlineStr">
        <is>
          <t>③折后仓位=原仓位×(1-CLC×β)</t>
        </is>
      </c>
    </row>
    <row r="114">
      <c r="A114" s="353" t="inlineStr">
        <is>
          <t>信号落地</t>
        </is>
      </c>
      <c r="B114" s="195" t="inlineStr">
        <is>
          <t>视觉信号+5日确认+因果链2条</t>
        </is>
      </c>
      <c r="C114" s="195" t="inlineStr">
        <is>
          <t>→虚P转实P</t>
        </is>
      </c>
      <c r="D114" s="195" t="inlineStr">
        <is>
          <t>→CLC=0现金解锁</t>
        </is>
      </c>
    </row>
    <row r="115">
      <c r="A115" s="353" t="inlineStr">
        <is>
          <t>核验计算</t>
        </is>
      </c>
      <c r="B115" s="195" t="inlineStr">
        <is>
          <t>python3 /tmp/mechanism_checker_v3.py</t>
        </is>
      </c>
      <c r="C115" s="195" t="inlineStr">
        <is>
          <t>自动重算所有机制</t>
        </is>
      </c>
    </row>
    <row r="117">
      <c r="A117" s="355" t="inlineStr">
        <is>
          <t>📊 待重仓资金分配策略（动态更新）</t>
        </is>
      </c>
      <c r="B117" s="356" t="n"/>
      <c r="C117" s="356" t="n"/>
      <c r="D117" s="356" t="n"/>
      <c r="E117" s="356" t="n"/>
      <c r="F117" s="356" t="n"/>
      <c r="G117" s="356" t="n"/>
      <c r="H117" s="357" t="n"/>
    </row>
    <row r="118">
      <c r="A118" s="358" t="inlineStr">
        <is>
          <t>⚠️ 此策略需定期修正：每次监控后/重大事件/价格异动时重新评估。最后更新：2026-06-07</t>
        </is>
      </c>
      <c r="B118" s="356" t="n"/>
      <c r="C118" s="356" t="n"/>
      <c r="D118" s="356" t="n"/>
      <c r="E118" s="356" t="n"/>
      <c r="F118" s="356" t="n"/>
      <c r="G118" s="356" t="n"/>
      <c r="H118" s="357" t="n"/>
    </row>
    <row r="120">
      <c r="A120" s="359" t="inlineStr">
        <is>
          <t>标的</t>
        </is>
      </c>
      <c r="B120" s="359" t="inlineStr">
        <is>
          <t>分配%</t>
        </is>
      </c>
      <c r="C120" s="359" t="inlineStr">
        <is>
          <t>进入方式</t>
        </is>
      </c>
      <c r="D120" s="359" t="inlineStr">
        <is>
          <t>时间</t>
        </is>
      </c>
      <c r="E120" s="359" t="inlineStr">
        <is>
          <t>优先级</t>
        </is>
      </c>
      <c r="F120" s="359" t="inlineStr">
        <is>
          <t>当前状态</t>
        </is>
      </c>
    </row>
    <row r="121">
      <c r="A121" s="360" t="inlineStr">
        <is>
          <t>MLCC(风华高科)</t>
        </is>
      </c>
      <c r="B121" s="360" t="inlineStr">
        <is>
          <t>5.5%</t>
        </is>
      </c>
      <c r="C121" s="360" t="inlineStr">
        <is>
          <t>一次性建仓</t>
        </is>
      </c>
      <c r="D121" s="360" t="inlineStr">
        <is>
          <t>现在(6-7月)</t>
        </is>
      </c>
      <c r="E121" s="360" t="inlineStr">
        <is>
          <t>1</t>
        </is>
      </c>
      <c r="F121" s="360" t="inlineStr">
        <is>
          <t>刚启动，年底清仓</t>
        </is>
      </c>
    </row>
    <row r="122">
      <c r="A122" s="360" t="inlineStr">
        <is>
          <t>机器人(562500)</t>
        </is>
      </c>
      <c r="B122" s="360" t="inlineStr">
        <is>
          <t>4%</t>
        </is>
      </c>
      <c r="C122" s="360" t="inlineStr">
        <is>
          <t>定投(分3-4次，每次1%)</t>
        </is>
      </c>
      <c r="D122" s="360" t="inlineStr">
        <is>
          <t>现在开始，跌5%加一次</t>
        </is>
      </c>
      <c r="E122" s="360" t="inlineStr">
        <is>
          <t>2</t>
        </is>
      </c>
      <c r="F122" s="360" t="inlineStr">
        <is>
          <t>已涨15%，方向对时机不好</t>
        </is>
      </c>
    </row>
    <row r="123">
      <c r="A123" s="360" t="inlineStr">
        <is>
          <t>油气对冲(162411)</t>
        </is>
      </c>
      <c r="B123" s="360" t="inlineStr">
        <is>
          <t>2%</t>
        </is>
      </c>
      <c r="C123" s="360" t="inlineStr">
        <is>
          <t>小仓位试水</t>
        </is>
      </c>
      <c r="D123" s="360" t="inlineStr">
        <is>
          <t>油价&gt;100时</t>
        </is>
      </c>
      <c r="E123" s="360" t="inlineStr">
        <is>
          <t>3</t>
        </is>
      </c>
      <c r="F123" s="360" t="inlineStr">
        <is>
          <t>霍尔木兹封锁中</t>
        </is>
      </c>
    </row>
    <row r="124">
      <c r="A124" s="360" t="inlineStr">
        <is>
          <t>长电+通富</t>
        </is>
      </c>
      <c r="B124" s="360" t="inlineStr">
        <is>
          <t>45%</t>
        </is>
      </c>
      <c r="C124" s="360" t="inlineStr">
        <is>
          <t>等11月大跌分三批(15+15+15)</t>
        </is>
      </c>
      <c r="D124" s="360" t="inlineStr">
        <is>
          <t>11月中期选举</t>
        </is>
      </c>
      <c r="E124" s="360" t="inlineStr">
        <is>
          <t>4</t>
        </is>
      </c>
      <c r="F124" s="360" t="inlineStr">
        <is>
          <t>最大仓位，必须等回调</t>
        </is>
      </c>
    </row>
    <row r="125">
      <c r="A125" s="360" t="inlineStr">
        <is>
          <t>HBM产业链</t>
        </is>
      </c>
      <c r="B125" s="360" t="inlineStr">
        <is>
          <t>5%</t>
        </is>
      </c>
      <c r="C125" s="360" t="inlineStr">
        <is>
          <t>Q4一次性</t>
        </is>
      </c>
      <c r="D125" s="360" t="inlineStr">
        <is>
          <t>10-12月</t>
        </is>
      </c>
      <c r="E125" s="360" t="inlineStr">
        <is>
          <t>5</t>
        </is>
      </c>
      <c r="F125" s="360" t="inlineStr">
        <is>
          <t>蒋宇飞Q4-Q1热潮</t>
        </is>
      </c>
    </row>
    <row r="126">
      <c r="A126" s="360" t="inlineStr">
        <is>
          <t>玻璃基板</t>
        </is>
      </c>
      <c r="B126" s="360" t="inlineStr">
        <is>
          <t>2%</t>
        </is>
      </c>
      <c r="C126" s="360" t="inlineStr">
        <is>
          <t>2027等业绩</t>
        </is>
      </c>
      <c r="D126" s="360" t="inlineStr">
        <is>
          <t>2027</t>
        </is>
      </c>
      <c r="E126" s="360" t="inlineStr">
        <is>
          <t>6</t>
        </is>
      </c>
      <c r="F126" s="360" t="inlineStr">
        <is>
          <t>消息还在送验阶段</t>
        </is>
      </c>
    </row>
    <row r="128">
      <c r="A128" s="359" t="inlineStr">
        <is>
          <t>💡 修正规则：</t>
        </is>
      </c>
      <c r="B128" s="356" t="n"/>
      <c r="C128" s="356" t="n"/>
      <c r="D128" s="356" t="n"/>
      <c r="E128" s="356" t="n"/>
      <c r="F128" s="356" t="n"/>
      <c r="G128" s="356" t="n"/>
      <c r="H128" s="357" t="n"/>
    </row>
    <row r="129">
      <c r="A129" s="360" t="inlineStr">
        <is>
          <t>1. 每次监控后检查：P值变化&gt;5pp → 重新算盈亏比</t>
        </is>
      </c>
      <c r="B129" s="356" t="n"/>
      <c r="C129" s="356" t="n"/>
      <c r="D129" s="356" t="n"/>
      <c r="E129" s="356" t="n"/>
      <c r="F129" s="356" t="n"/>
      <c r="G129" s="356" t="n"/>
      <c r="H129" s="357" t="n"/>
    </row>
    <row r="130">
      <c r="A130" s="360" t="inlineStr">
        <is>
          <t>2. 价格异动：标的涨&gt;20%或跌&gt;15% → 评估是否调整仓位</t>
        </is>
      </c>
      <c r="B130" s="356" t="n"/>
      <c r="C130" s="356" t="n"/>
      <c r="D130" s="356" t="n"/>
      <c r="E130" s="356" t="n"/>
      <c r="F130" s="356" t="n"/>
      <c r="G130" s="356" t="n"/>
      <c r="H130" s="357" t="n"/>
    </row>
    <row r="131">
      <c r="A131" s="360" t="inlineStr">
        <is>
          <t>3. 重大事件：新信源/政策/财报 → 重新排序优先级</t>
        </is>
      </c>
      <c r="B131" s="356" t="n"/>
      <c r="C131" s="356" t="n"/>
      <c r="D131" s="356" t="n"/>
      <c r="E131" s="356" t="n"/>
      <c r="F131" s="356" t="n"/>
      <c r="G131" s="356" t="n"/>
      <c r="H131" s="357" t="n"/>
    </row>
    <row r="132">
      <c r="A132" s="360" t="inlineStr">
        <is>
          <t>4. 机器人定投逻辑：方向确定但短期追高盈亏比差，分批进摊低成本</t>
        </is>
      </c>
      <c r="B132" s="356" t="n"/>
      <c r="C132" s="356" t="n"/>
      <c r="D132" s="356" t="n"/>
      <c r="E132" s="356" t="n"/>
      <c r="F132" s="356" t="n"/>
      <c r="G132" s="356" t="n"/>
      <c r="H132" s="357" t="n"/>
    </row>
  </sheetData>
  <mergeCells count="7">
    <mergeCell ref="A131:H131"/>
    <mergeCell ref="A130:H130"/>
    <mergeCell ref="A129:H129"/>
    <mergeCell ref="A117:H117"/>
    <mergeCell ref="A128:H128"/>
    <mergeCell ref="A118:H118"/>
    <mergeCell ref="A132:H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2026-06-07T17:09:02Z</dcterms:modified>
  <cp:revision>8</cp:revision>
</cp:coreProperties>
</file>
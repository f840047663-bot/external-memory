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</fonts>
  <fills count="27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D9" s="147" t="inlineStr">
        <is>
          <t>2026-05-19 古都闲云：4月新增贷款出现历史罕见的负值</t>
        </is>
      </c>
      <c r="E9" s="138" t="inlineStr">
        <is>
          <t>2026-04-07 美军空袭伊朗哈尔克岛，以色列同步打击桥梁铁路</t>
        </is>
      </c>
      <c r="F9" s="147" t="inlineStr">
        <is>
          <t>2026-05-27 AI处理日志 →黄金+2pp</t>
        </is>
      </c>
      <c r="G9" s="147" t="inlineStr">
        <is>
          <t>2026-05-21 新浪：黄金深V反转 +1.67%，但前日暴跌84美元</t>
        </is>
      </c>
    </row>
    <row r="10" ht="48" customHeight="1" s="139">
      <c r="D10" s="147" t="inlineStr">
        <is>
          <t>2026-05-19 古都闲云：中国4月社会消费品零售总额同比+0.2%</t>
        </is>
      </c>
      <c r="E10" s="138" t="inlineStr">
        <is>
          <t>2026-03-23 特朗普威胁摧毁伊朗能源设施 + 新加坡总理：比70年代更严重</t>
        </is>
      </c>
      <c r="F10" s="147" t="inlineStr">
        <is>
          <t>2026-05-27 蒋宇飞（抖音）→ 芯片0pp</t>
        </is>
      </c>
    </row>
    <row r="11" ht="48" customHeight="1" s="139">
      <c r="E11" s="138" t="inlineStr">
        <is>
          <t>2026-03 最坏情境：布伦特$111/桶(2027Q4)，封锁2月+供应仅200万桶/日</t>
        </is>
      </c>
      <c r="F11" s="147" t="inlineStr">
        <is>
          <t>2026-05-27 付鹏（抖音）→ 芯片0pp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n"/>
    </row>
    <row r="156" ht="15" customHeight="1" s="139">
      <c r="A156" s="191" t="n"/>
    </row>
    <row r="157" ht="15" customHeight="1" s="139">
      <c r="A157" s="191" t="n"/>
    </row>
    <row r="158" ht="15" customHeight="1" s="139">
      <c r="A158" s="191" t="n"/>
    </row>
    <row r="159" ht="15" customHeight="1" s="139">
      <c r="A159" s="191" t="n"/>
    </row>
    <row r="160" ht="15" customHeight="1" s="139">
      <c r="A160" s="191" t="n"/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(8只横排)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195" t="inlineStr">
        <is>
          <t>P:41%
虚P+2pp
利率折价-6pp
有效P:35%
拟合❌0分
下行:25% 确定性:30% 溢价:50%
盈亏比:1.2:1
决策:观望
【6/4三源联动】知乎0pp 达利欧-2pp 李大霄-1pp = 净-3pp</t>
        </is>
      </c>
      <c r="B3" s="195" t="inlineStr">
        <is>
          <t>P:65%
虚P无
利率折价-6pp
有效P:59%
拟合✅97分
下行:20% 确定性:25% 溢价:40%
盈亏比:2.0:1
决策:持有</t>
        </is>
      </c>
      <c r="C3" s="195" t="inlineStr">
        <is>
          <t>P:27%
虚P无
利率折价-6pp
有效P:21%
拟合✅75分
下行:30% 确定性:15% 溢价:30%
盈亏比:0.4:1
决策:不干
【6/4三源联动】知乎+1pp 达利欧-1pp 李大霄-2pp = 净-2pp</t>
        </is>
      </c>
      <c r="D3" s="195" t="inlineStr">
        <is>
          <t>P:70%
虚P+4pp
利率折价0pp
有效P:70%
拟合✅95分
下行:20% 确定性:35% 溢价:20%
盈亏比:2.0:1
决策:持有</t>
        </is>
      </c>
      <c r="E3" s="195" t="inlineStr">
        <is>
          <t>P:39%
虚P无
利率折价-4pp
有效P:35%
拟合⚠️样本少
下行:15% 确定性:20% 溢价:30%
盈亏比:1.7:1
决策:观望</t>
        </is>
      </c>
      <c r="F3" s="195" t="inlineStr">
        <is>
          <t>P:40%
虚P无
利率折价-4pp
有效P:36%
拟合⚠️样本少
下行:20% 确定性:25% 溢价:35%
盈亏比:1.6:1
决策:观望</t>
        </is>
      </c>
      <c r="G3" s="195" t="inlineStr">
        <is>
          <t>成本¥0
净值1.6291
P:47%
虚P-2pp
利率折价0pp
有效P:47%
拟合👍53分
下行:10% 确定性:10% 溢价:5%
盈亏比:1.5:1
决策:监控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175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175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196" t="inlineStr">
        <is>
          <t>P:58%
虚P无
利率折价+2pp
有效P:60%
拟合N/A(新赛道)
下行:25%
盈亏比:2.4:1
状态:等回调入场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202" t="inlineStr">
        <is>
          <t>2026-05-22
-9pp
【-3pp】宋鸿兵利率风暴
【-6pp】凯文·沃什就任美联储主席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138" t="n"/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B16" s="196" t="n"/>
    </row>
    <row r="17" ht="13.5" customHeight="1" s="139"/>
    <row r="18" ht="13.5" customHeight="1" s="139">
      <c r="A18" s="196" t="n"/>
    </row>
    <row r="19" ht="13.5" customHeight="1" s="139">
      <c r="A19" s="196" t="n"/>
      <c r="B19" s="196" t="n"/>
    </row>
    <row r="20" ht="13.5" customHeight="1" s="139">
      <c r="A20" s="196" t="n"/>
      <c r="B20" s="196" t="n"/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14" t="inlineStr">
        <is>
          <t>机会成本比较 边际量排序（含现金锁定机制 v2）</t>
        </is>
      </c>
    </row>
    <row r="2" ht="15" customHeight="1" s="139">
      <c r="A2" s="154" t="inlineStr">
        <is>
          <t>🔒 现金锁定系数 = 达利欧概率(70%) × 三源互锁确认(强) × 时间权重(5/12月) ≈ 0.65 → 65%现金锁定等11月，仅35%可投资金可用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237" t="inlineStr">
        <is>
          <t>折后仓位 = 原目标仓位 × (1-现金锁定系数) | 例：长电原37%×35%=13% | 已持仓不受影响 | 解锁条件：三源信号任一落地</t>
        </is>
      </c>
      <c r="B3" s="238" t="n"/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8" t="n"/>
      <c r="N3" s="238" t="n"/>
    </row>
    <row r="5" ht="16.5" customHeight="1" s="139">
      <c r="A5" s="239" t="inlineStr">
        <is>
          <t>审核日期：2026-06-04 | 下次预计审核：2026-06-11（每周日）| 方法：吸引力Score = P*R - alpha*w*(1-P)</t>
        </is>
      </c>
      <c r="M5" s="240" t="inlineStr">
        <is>
          <t>折后仓位%</t>
        </is>
      </c>
      <c r="N5" s="240" t="inlineStr">
        <is>
          <t>现金锁定状态</t>
        </is>
      </c>
    </row>
    <row r="6" ht="48" customHeight="1" s="139">
      <c r="A6" s="239" t="inlineStr">
        <is>
          <t>双门槛过滤：P&gt;=60% + 盈亏比&gt;=2:1 通过 按Score排序分配现金 | alpha=1.0（集中度厌恶系数）</t>
        </is>
      </c>
      <c r="M6" s="164" t="inlineStr">
        <is>
          <t>13%</t>
        </is>
      </c>
      <c r="N6" s="147" t="inlineStr">
        <is>
          <t>锁定65%现金 等解锁</t>
        </is>
      </c>
    </row>
    <row r="7" ht="32.25" customHeight="1" s="139">
      <c r="M7" s="164" t="inlineStr">
        <is>
          <t>12%</t>
        </is>
      </c>
      <c r="N7" s="147" t="inlineStr">
        <is>
          <t>锁定65%现金 等解锁</t>
        </is>
      </c>
    </row>
    <row r="8" ht="32.25" customHeight="1" s="139">
      <c r="A8" s="241" t="inlineStr">
        <is>
          <t>排名</t>
        </is>
      </c>
      <c r="B8" s="241" t="inlineStr">
        <is>
          <t>选项</t>
        </is>
      </c>
      <c r="C8" s="241" t="inlineStr">
        <is>
          <t>代码</t>
        </is>
      </c>
      <c r="D8" s="241" t="inlineStr">
        <is>
          <t>类型</t>
        </is>
      </c>
      <c r="E8" s="241" t="inlineStr">
        <is>
          <t>P值</t>
        </is>
      </c>
      <c r="F8" s="241" t="inlineStr">
        <is>
          <t>有效P</t>
        </is>
      </c>
      <c r="G8" s="241" t="inlineStr">
        <is>
          <t>盈亏比</t>
        </is>
      </c>
      <c r="H8" s="241" t="inlineStr">
        <is>
          <t>P*R</t>
        </is>
      </c>
      <c r="I8" s="241" t="inlineStr">
        <is>
          <t>仓位w</t>
        </is>
      </c>
      <c r="J8" s="241" t="inlineStr">
        <is>
          <t>吸引力Score</t>
        </is>
      </c>
      <c r="K8" s="241" t="inlineStr">
        <is>
          <t>双门槛</t>
        </is>
      </c>
      <c r="L8" s="241" t="inlineStr">
        <is>
          <t>建议操作</t>
        </is>
      </c>
      <c r="M8" s="163" t="inlineStr">
        <is>
          <t>0%</t>
        </is>
      </c>
      <c r="N8" s="242" t="inlineStr">
        <is>
          <t>已持仓不动</t>
        </is>
      </c>
    </row>
    <row r="9" ht="32.25" customHeight="1" s="139">
      <c r="A9" s="243" t="n">
        <v>1</v>
      </c>
      <c r="B9" s="243" t="inlineStr">
        <is>
          <t>长电科技</t>
        </is>
      </c>
      <c r="C9" s="243" t="inlineStr">
        <is>
          <t>600584</t>
        </is>
      </c>
      <c r="D9" s="243" t="inlineStr">
        <is>
          <t>待重仓-堆叠</t>
        </is>
      </c>
      <c r="E9" s="243" t="inlineStr">
        <is>
          <t>75%</t>
        </is>
      </c>
      <c r="F9" s="243" t="inlineStr">
        <is>
          <t>69%</t>
        </is>
      </c>
      <c r="G9" s="243" t="inlineStr">
        <is>
          <t>4.5:1</t>
        </is>
      </c>
      <c r="H9" s="243" t="inlineStr">
        <is>
          <t>3.375</t>
        </is>
      </c>
      <c r="I9" s="243" t="inlineStr">
        <is>
          <t>0%</t>
        </is>
      </c>
      <c r="J9" s="243" t="inlineStr">
        <is>
          <t>3.3750</t>
        </is>
      </c>
      <c r="K9" s="243" t="inlineStr">
        <is>
          <t>通过</t>
        </is>
      </c>
      <c r="L9" s="243" t="inlineStr">
        <is>
          <t>重点研究</t>
        </is>
      </c>
      <c r="M9" s="163" t="inlineStr">
        <is>
          <t>0%</t>
        </is>
      </c>
      <c r="N9" s="244" t="inlineStr">
        <is>
          <t>已持仓不动</t>
        </is>
      </c>
    </row>
    <row r="10" ht="32.25" customHeight="1" s="139">
      <c r="A10" s="243" t="n">
        <v>2</v>
      </c>
      <c r="B10" s="243" t="inlineStr">
        <is>
          <t>通富微电</t>
        </is>
      </c>
      <c r="C10" s="243" t="inlineStr">
        <is>
          <t>002156</t>
        </is>
      </c>
      <c r="D10" s="243" t="inlineStr">
        <is>
          <t>待重仓-堆叠</t>
        </is>
      </c>
      <c r="E10" s="243" t="inlineStr">
        <is>
          <t>75%</t>
        </is>
      </c>
      <c r="F10" s="243" t="inlineStr">
        <is>
          <t>69%</t>
        </is>
      </c>
      <c r="G10" s="243" t="inlineStr">
        <is>
          <t>4.0:1</t>
        </is>
      </c>
      <c r="H10" s="243" t="inlineStr">
        <is>
          <t>3.000</t>
        </is>
      </c>
      <c r="I10" s="243" t="inlineStr">
        <is>
          <t>0%</t>
        </is>
      </c>
      <c r="J10" s="243" t="inlineStr">
        <is>
          <t>3.0000</t>
        </is>
      </c>
      <c r="K10" s="243" t="inlineStr">
        <is>
          <t>通过</t>
        </is>
      </c>
      <c r="L10" s="243" t="inlineStr">
        <is>
          <t>重点研究</t>
        </is>
      </c>
      <c r="M10" s="245" t="inlineStr">
        <is>
          <t>0%</t>
        </is>
      </c>
      <c r="N10" s="244" t="inlineStr">
        <is>
          <t>未通过门槛</t>
        </is>
      </c>
    </row>
    <row r="11" ht="32.25" customHeight="1" s="139">
      <c r="A11" s="243" t="n">
        <v>3</v>
      </c>
      <c r="B11" s="243" t="inlineStr">
        <is>
          <t>养殖014415</t>
        </is>
      </c>
      <c r="C11" s="243" t="inlineStr">
        <is>
          <t>养殖014415</t>
        </is>
      </c>
      <c r="D11" s="243" t="inlineStr">
        <is>
          <t>持仓</t>
        </is>
      </c>
      <c r="E11" s="243" t="inlineStr">
        <is>
          <t>70%</t>
        </is>
      </c>
      <c r="F11" s="243" t="inlineStr">
        <is>
          <t>70%</t>
        </is>
      </c>
      <c r="G11" s="243" t="inlineStr">
        <is>
          <t>2.0:1</t>
        </is>
      </c>
      <c r="H11" s="243" t="inlineStr">
        <is>
          <t>1.400</t>
        </is>
      </c>
      <c r="I11" s="243" t="inlineStr">
        <is>
          <t>0%</t>
        </is>
      </c>
      <c r="J11" s="243" t="inlineStr">
        <is>
          <t>1.4000</t>
        </is>
      </c>
      <c r="K11" s="243" t="inlineStr">
        <is>
          <t>通过</t>
        </is>
      </c>
      <c r="L11" s="243" t="inlineStr">
        <is>
          <t>持有</t>
        </is>
      </c>
      <c r="M11" s="163" t="inlineStr">
        <is>
          <t>0%</t>
        </is>
      </c>
      <c r="N11" s="244" t="inlineStr">
        <is>
          <t>已持仓不动</t>
        </is>
      </c>
    </row>
    <row r="12" ht="32.25" customHeight="1" s="139">
      <c r="A12" s="243" t="n">
        <v>4</v>
      </c>
      <c r="B12" s="243" t="inlineStr">
        <is>
          <t>电池018926</t>
        </is>
      </c>
      <c r="C12" s="243" t="inlineStr">
        <is>
          <t>电池018926</t>
        </is>
      </c>
      <c r="D12" s="243" t="inlineStr">
        <is>
          <t>持仓</t>
        </is>
      </c>
      <c r="E12" s="243" t="inlineStr">
        <is>
          <t>65%</t>
        </is>
      </c>
      <c r="F12" s="243" t="inlineStr">
        <is>
          <t>59%</t>
        </is>
      </c>
      <c r="G12" s="243" t="inlineStr">
        <is>
          <t>2.0:1</t>
        </is>
      </c>
      <c r="H12" s="243" t="inlineStr">
        <is>
          <t>1.300</t>
        </is>
      </c>
      <c r="I12" s="243" t="inlineStr">
        <is>
          <t>0%</t>
        </is>
      </c>
      <c r="J12" s="243" t="inlineStr">
        <is>
          <t>1.3000</t>
        </is>
      </c>
      <c r="K12" s="243" t="inlineStr">
        <is>
          <t>通过</t>
        </is>
      </c>
      <c r="L12" s="243" t="inlineStr">
        <is>
          <t>持有</t>
        </is>
      </c>
      <c r="M12" s="163" t="inlineStr">
        <is>
          <t>0%</t>
        </is>
      </c>
      <c r="N12" s="244" t="inlineStr">
        <is>
          <t>已持仓不动</t>
        </is>
      </c>
    </row>
    <row r="13" ht="32.25" customHeight="1" s="139">
      <c r="A13" s="191" t="n">
        <v>5</v>
      </c>
      <c r="B13" s="191" t="inlineStr">
        <is>
          <t>核电</t>
        </is>
      </c>
      <c r="C13" s="191" t="inlineStr">
        <is>
          <t>-</t>
        </is>
      </c>
      <c r="D13" s="191" t="inlineStr">
        <is>
          <t>待重仓-核电</t>
        </is>
      </c>
      <c r="E13" s="191" t="inlineStr">
        <is>
          <t>52%</t>
        </is>
      </c>
      <c r="F13" s="191" t="inlineStr">
        <is>
          <t>52%</t>
        </is>
      </c>
      <c r="G13" s="191" t="inlineStr">
        <is>
          <t>1.5:1</t>
        </is>
      </c>
      <c r="H13" s="191" t="inlineStr">
        <is>
          <t>0.780</t>
        </is>
      </c>
      <c r="I13" s="191" t="inlineStr">
        <is>
          <t>0%</t>
        </is>
      </c>
      <c r="J13" s="191" t="inlineStr">
        <is>
          <t>0.7800</t>
        </is>
      </c>
      <c r="K13" s="246" t="inlineStr">
        <is>
          <t>未通过</t>
        </is>
      </c>
      <c r="L13" s="191" t="inlineStr">
        <is>
          <t>长期跟踪</t>
        </is>
      </c>
      <c r="M13" s="163" t="inlineStr">
        <is>
          <t>0%</t>
        </is>
      </c>
      <c r="N13" s="147" t="inlineStr">
        <is>
          <t>已持仓不动</t>
        </is>
      </c>
    </row>
    <row r="14" ht="32.25" customHeight="1" s="139">
      <c r="A14" s="191" t="n">
        <v>6</v>
      </c>
      <c r="B14" s="191" t="inlineStr">
        <is>
          <t>银行001595</t>
        </is>
      </c>
      <c r="C14" s="191" t="inlineStr">
        <is>
          <t>银行001595</t>
        </is>
      </c>
      <c r="D14" s="191" t="inlineStr">
        <is>
          <t>持仓</t>
        </is>
      </c>
      <c r="E14" s="191" t="inlineStr">
        <is>
          <t>47%</t>
        </is>
      </c>
      <c r="F14" s="191" t="inlineStr">
        <is>
          <t>47%</t>
        </is>
      </c>
      <c r="G14" s="191" t="inlineStr">
        <is>
          <t>1.5:1</t>
        </is>
      </c>
      <c r="H14" s="191" t="inlineStr">
        <is>
          <t>0.705</t>
        </is>
      </c>
      <c r="I14" s="191" t="inlineStr">
        <is>
          <t>0%</t>
        </is>
      </c>
      <c r="J14" s="191" t="inlineStr">
        <is>
          <t>0.7050</t>
        </is>
      </c>
      <c r="K14" s="246" t="inlineStr">
        <is>
          <t>未通过</t>
        </is>
      </c>
      <c r="L14" s="191" t="inlineStr">
        <is>
          <t>监控</t>
        </is>
      </c>
      <c r="M14" s="247" t="inlineStr">
        <is>
          <t>0%</t>
        </is>
      </c>
      <c r="N14" s="147" t="inlineStr">
        <is>
          <t>已降级</t>
        </is>
      </c>
    </row>
    <row r="15" ht="32.25" customHeight="1" s="139">
      <c r="A15" s="191" t="n">
        <v>7</v>
      </c>
      <c r="B15" s="191" t="inlineStr">
        <is>
          <t>有色004433</t>
        </is>
      </c>
      <c r="C15" s="191" t="inlineStr">
        <is>
          <t>有色004433</t>
        </is>
      </c>
      <c r="D15" s="191" t="inlineStr">
        <is>
          <t>持仓</t>
        </is>
      </c>
      <c r="E15" s="191" t="inlineStr">
        <is>
          <t>39%</t>
        </is>
      </c>
      <c r="F15" s="191" t="inlineStr">
        <is>
          <t>35%</t>
        </is>
      </c>
      <c r="G15" s="191" t="inlineStr">
        <is>
          <t>1.7:1</t>
        </is>
      </c>
      <c r="H15" s="191" t="inlineStr">
        <is>
          <t>0.663</t>
        </is>
      </c>
      <c r="I15" s="191" t="inlineStr">
        <is>
          <t>0%</t>
        </is>
      </c>
      <c r="J15" s="191" t="inlineStr">
        <is>
          <t>0.6630</t>
        </is>
      </c>
      <c r="K15" s="246" t="inlineStr">
        <is>
          <t>未通过</t>
        </is>
      </c>
      <c r="L15" s="191" t="inlineStr">
        <is>
          <t>观望</t>
        </is>
      </c>
      <c r="M15" s="163" t="inlineStr">
        <is>
          <t>0%</t>
        </is>
      </c>
      <c r="N15" s="147" t="inlineStr">
        <is>
          <t>已持仓不动</t>
        </is>
      </c>
    </row>
    <row r="16" ht="32.25" customHeight="1" s="139">
      <c r="A16" s="191" t="n">
        <v>8</v>
      </c>
      <c r="B16" s="191" t="inlineStr">
        <is>
          <t>稀金014111</t>
        </is>
      </c>
      <c r="C16" s="191" t="inlineStr">
        <is>
          <t>稀金014111</t>
        </is>
      </c>
      <c r="D16" s="191" t="inlineStr">
        <is>
          <t>持仓</t>
        </is>
      </c>
      <c r="E16" s="191" t="inlineStr">
        <is>
          <t>40%</t>
        </is>
      </c>
      <c r="F16" s="191" t="inlineStr">
        <is>
          <t>36%</t>
        </is>
      </c>
      <c r="G16" s="191" t="inlineStr">
        <is>
          <t>1.6:1</t>
        </is>
      </c>
      <c r="H16" s="191" t="inlineStr">
        <is>
          <t>0.640</t>
        </is>
      </c>
      <c r="I16" s="191" t="inlineStr">
        <is>
          <t>0%</t>
        </is>
      </c>
      <c r="J16" s="191" t="inlineStr">
        <is>
          <t>0.6400</t>
        </is>
      </c>
      <c r="K16" s="246" t="inlineStr">
        <is>
          <t>未通过</t>
        </is>
      </c>
      <c r="L16" s="191" t="inlineStr">
        <is>
          <t>观望</t>
        </is>
      </c>
      <c r="M16" s="163" t="inlineStr">
        <is>
          <t>0%</t>
        </is>
      </c>
      <c r="N16" s="147" t="inlineStr">
        <is>
          <t>已持仓不动</t>
        </is>
      </c>
    </row>
    <row r="17" ht="16.5" customHeight="1" s="139">
      <c r="A17" s="191" t="n">
        <v>9</v>
      </c>
      <c r="B17" s="191" t="inlineStr">
        <is>
          <t>存储赛道</t>
        </is>
      </c>
      <c r="C17" s="191" t="inlineStr">
        <is>
          <t>-</t>
        </is>
      </c>
      <c r="D17" s="191" t="inlineStr">
        <is>
          <t>待重仓-存储</t>
        </is>
      </c>
      <c r="E17" s="191" t="inlineStr">
        <is>
          <t>55%</t>
        </is>
      </c>
      <c r="F17" s="191" t="inlineStr">
        <is>
          <t>49%</t>
        </is>
      </c>
      <c r="G17" s="191" t="inlineStr">
        <is>
          <t>1.0:1</t>
        </is>
      </c>
      <c r="H17" s="191" t="inlineStr">
        <is>
          <t>0.550</t>
        </is>
      </c>
      <c r="I17" s="191" t="inlineStr">
        <is>
          <t>0%</t>
        </is>
      </c>
      <c r="J17" s="191" t="inlineStr">
        <is>
          <t>0.5500</t>
        </is>
      </c>
      <c r="K17" s="246" t="inlineStr">
        <is>
          <t>未通过</t>
        </is>
      </c>
      <c r="L17" s="191" t="inlineStr">
        <is>
          <t>降级观察</t>
        </is>
      </c>
      <c r="M17" s="191" t="inlineStr">
        <is>
          <t>兆易525元涨81% PE天际线，安全边际不足</t>
        </is>
      </c>
      <c r="N17" s="191" t="inlineStr">
        <is>
          <t>安全边际不足，PE天际线，向上小于向下</t>
        </is>
      </c>
    </row>
    <row r="18" ht="16.5" customHeight="1" s="139">
      <c r="A18" s="191" t="n">
        <v>10</v>
      </c>
      <c r="B18" s="191" t="inlineStr">
        <is>
          <t>芯片020628</t>
        </is>
      </c>
      <c r="C18" s="191" t="inlineStr">
        <is>
          <t>芯片020628</t>
        </is>
      </c>
      <c r="D18" s="191" t="inlineStr">
        <is>
          <t>持仓</t>
        </is>
      </c>
      <c r="E18" s="191" t="inlineStr">
        <is>
          <t>44%</t>
        </is>
      </c>
      <c r="F18" s="191" t="inlineStr">
        <is>
          <t>38%</t>
        </is>
      </c>
      <c r="G18" s="191" t="inlineStr">
        <is>
          <t>1.2:1</t>
        </is>
      </c>
      <c r="H18" s="191" t="inlineStr">
        <is>
          <t>0.528</t>
        </is>
      </c>
      <c r="I18" s="191" t="inlineStr">
        <is>
          <t>0%</t>
        </is>
      </c>
      <c r="J18" s="191" t="inlineStr">
        <is>
          <t>0.5280</t>
        </is>
      </c>
      <c r="K18" s="246" t="inlineStr">
        <is>
          <t>未通过</t>
        </is>
      </c>
      <c r="L18" s="191" t="inlineStr">
        <is>
          <t>观望</t>
        </is>
      </c>
      <c r="M18" s="191" t="inlineStr">
        <is>
          <t>-</t>
        </is>
      </c>
      <c r="N18" s="191" t="inlineStr">
        <is>
          <t>已持仓观望，利率折价6pp</t>
        </is>
      </c>
    </row>
    <row r="19" ht="32.8" customHeight="1" s="139">
      <c r="A19" s="191" t="n">
        <v>11</v>
      </c>
      <c r="B19" s="191" t="inlineStr">
        <is>
          <t>恒科012349</t>
        </is>
      </c>
      <c r="C19" s="191" t="inlineStr">
        <is>
          <t>恒科012349</t>
        </is>
      </c>
      <c r="D19" s="191" t="inlineStr">
        <is>
          <t>持仓</t>
        </is>
      </c>
      <c r="E19" s="191" t="inlineStr">
        <is>
          <t>29%</t>
        </is>
      </c>
      <c r="F19" s="191" t="inlineStr">
        <is>
          <t>23%</t>
        </is>
      </c>
      <c r="G19" s="191" t="inlineStr">
        <is>
          <t>0.4:1</t>
        </is>
      </c>
      <c r="H19" s="191" t="inlineStr">
        <is>
          <t>0.116</t>
        </is>
      </c>
      <c r="I19" s="191" t="inlineStr">
        <is>
          <t>0%</t>
        </is>
      </c>
      <c r="J19" s="191" t="inlineStr">
        <is>
          <t>0.1160</t>
        </is>
      </c>
      <c r="K19" s="246" t="inlineStr">
        <is>
          <t>未通过</t>
        </is>
      </c>
      <c r="L19" s="191" t="inlineStr">
        <is>
          <t>不干</t>
        </is>
      </c>
      <c r="M19" s="191" t="inlineStr">
        <is>
          <t>-</t>
        </is>
      </c>
      <c r="N19" s="191" t="inlineStr">
        <is>
          <t>已持仓不干，利率折价5pp</t>
        </is>
      </c>
    </row>
    <row r="20" ht="15" customHeight="1" s="139">
      <c r="A20" s="248" t="n">
        <v>12</v>
      </c>
      <c r="B20" s="248" t="inlineStr">
        <is>
          <t>现金</t>
        </is>
      </c>
      <c r="C20" s="248" t="inlineStr">
        <is>
          <t>-</t>
        </is>
      </c>
      <c r="D20" s="248" t="inlineStr">
        <is>
          <t>现金</t>
        </is>
      </c>
      <c r="E20" s="248" t="inlineStr">
        <is>
          <t>N/A</t>
        </is>
      </c>
      <c r="F20" s="248" t="inlineStr">
        <is>
          <t>N/A</t>
        </is>
      </c>
      <c r="G20" s="248" t="inlineStr">
        <is>
          <t>N/A</t>
        </is>
      </c>
      <c r="H20" s="248" t="inlineStr">
        <is>
          <t>0.000</t>
        </is>
      </c>
      <c r="I20" s="248" t="inlineStr">
        <is>
          <t>0%</t>
        </is>
      </c>
      <c r="J20" s="248" t="inlineStr">
        <is>
          <t>0.0000</t>
        </is>
      </c>
      <c r="K20" s="248" t="inlineStr">
        <is>
          <t>基准</t>
        </is>
      </c>
      <c r="L20" s="248" t="inlineStr">
        <is>
          <t>Score=0基准线</t>
        </is>
      </c>
      <c r="M20" s="248" t="inlineStr">
        <is>
          <t>Score=0，所有选项都要跟现金比</t>
        </is>
      </c>
      <c r="N20" s="248" t="inlineStr">
        <is>
          <t>无风险，但通胀侵蚀购买力</t>
        </is>
      </c>
    </row>
    <row r="21" ht="16.5" customHeight="1" s="139">
      <c r="A21" s="191" t="n">
        <v>13</v>
      </c>
      <c r="B21" s="191" t="inlineStr">
        <is>
          <t>AI027048</t>
        </is>
      </c>
      <c r="C21" s="191" t="inlineStr">
        <is>
          <t>AI027048</t>
        </is>
      </c>
      <c r="D21" s="191" t="inlineStr">
        <is>
          <t>持仓</t>
        </is>
      </c>
      <c r="E21" s="191" t="inlineStr">
        <is>
          <t>N/A</t>
        </is>
      </c>
      <c r="F21" s="191" t="inlineStr">
        <is>
          <t>N/A</t>
        </is>
      </c>
      <c r="G21" s="191" t="inlineStr">
        <is>
          <t>0.7:1</t>
        </is>
      </c>
      <c r="H21" s="191" t="inlineStr">
        <is>
          <t>0.000</t>
        </is>
      </c>
      <c r="I21" s="191" t="inlineStr">
        <is>
          <t>100.0%</t>
        </is>
      </c>
      <c r="J21" s="191" t="inlineStr">
        <is>
          <t>-1.0000</t>
        </is>
      </c>
      <c r="K21" s="246" t="inlineStr">
        <is>
          <t>未通过</t>
        </is>
      </c>
      <c r="L21" s="191" t="inlineStr">
        <is>
          <t>不干</t>
        </is>
      </c>
      <c r="M21" s="191" t="inlineStr">
        <is>
          <t>-</t>
        </is>
      </c>
      <c r="N21" s="191" t="inlineStr">
        <is>
          <t>已持仓不干，利率折价0pp</t>
        </is>
      </c>
    </row>
    <row r="22" ht="16.5" customHeight="1" s="139"/>
    <row r="23" ht="16.5" customHeight="1" s="139">
      <c r="A23" s="249" t="inlineStr">
        <is>
          <t>结论：现金该往哪分配</t>
        </is>
      </c>
    </row>
    <row r="24" ht="16.5" customHeight="1" s="139">
      <c r="A24" s="214" t="inlineStr">
        <is>
          <t>1. 长电科技(600584) - P=75% R=4.5:1 Score=3.3750 目标仓位占比=37%的可投资金</t>
        </is>
      </c>
    </row>
    <row r="25" ht="17.15" customHeight="1" s="139">
      <c r="A25" s="214" t="inlineStr">
        <is>
          <t>2. 通富微电(002156) - P=75% R=4.0:1 Score=3.0000 目标仓位占比=33%的可投资金</t>
        </is>
      </c>
    </row>
    <row r="26" ht="15" customHeight="1" s="139">
      <c r="A26" s="214" t="inlineStr">
        <is>
          <t>3. 养殖014415(养殖014415) - P=70% R=2.0:1 Score=1.4000 目标仓位占比=15%的可投资金</t>
        </is>
      </c>
    </row>
    <row r="27" ht="16.5" customHeight="1" s="139">
      <c r="A27" s="214" t="inlineStr">
        <is>
          <t>4. 电池018926(电池018926) - P=65% R=2.0:1 Score=1.3000 目标仓位占比=14%的可投资金</t>
        </is>
      </c>
    </row>
    <row r="28" ht="16.5" customHeight="1" s="139"/>
    <row r="29" ht="15" customHeight="1" s="139">
      <c r="A29" s="214" t="inlineStr">
        <is>
          <t>未通过但接近的选项：</t>
        </is>
      </c>
    </row>
    <row r="30" ht="16.5" customHeight="1" s="139">
      <c r="A30" s="138" t="inlineStr">
        <is>
          <t>- 核电(-) - P=52% R=1.5:1 - P差8pp到门槛, R差0.5到门槛</t>
        </is>
      </c>
    </row>
    <row r="31" ht="17.15" customHeight="1" s="139">
      <c r="A31" s="138" t="inlineStr">
        <is>
          <t>- 存储赛道(-) - P=55% R=1.0:1 - P差5pp到门槛, R差1.0到门槛</t>
        </is>
      </c>
    </row>
    <row r="32" ht="15" customHeight="1" s="139"/>
    <row r="33" ht="15" customHeight="1" s="139">
      <c r="A33" s="214" t="inlineStr">
        <is>
          <t>现金：按Score排序，优先分配给最高Score选项</t>
        </is>
      </c>
    </row>
    <row r="34" ht="15" customHeight="1" s="139"/>
    <row r="35" ht="15" customHeight="1" s="139">
      <c r="A35" s="214" t="inlineStr">
        <is>
          <t>方法说明</t>
        </is>
      </c>
    </row>
    <row r="36" ht="15" customHeight="1" s="139">
      <c r="A36" s="250" t="inlineStr">
        <is>
          <t>1. 吸引力Score = P*R - alpha*w*(1-P) | P=胜率 R=盈亏比 w=当前仓位占比 alpha=1.0</t>
        </is>
      </c>
    </row>
    <row r="37" ht="15" customHeight="1" s="139">
      <c r="A37" s="250" t="inlineStr">
        <is>
          <t>2. 大白话：吸引力 = 机会多好(P*R) 减去 风险多重(仓位乘不确定性)</t>
        </is>
      </c>
    </row>
    <row r="38" ht="15" customHeight="1" s="139">
      <c r="A38" s="250" t="inlineStr">
        <is>
          <t>3. 双门槛：P&gt;=60% + 盈亏比&gt;=2:1 通过 按Score排序分配现金</t>
        </is>
      </c>
    </row>
    <row r="39" ht="15" customHeight="1" s="139">
      <c r="A39" s="250" t="inlineStr">
        <is>
          <t>4. 目标仓位分配：按P*R比例分配可投资金（通过门槛的选项）</t>
        </is>
      </c>
    </row>
    <row r="40" ht="15" customHeight="1" s="139">
      <c r="A40" s="250" t="inlineStr">
        <is>
          <t>5. 饱和度检查：当前仓位/目标仓位 小于50%加仓，大于100%减仓</t>
        </is>
      </c>
    </row>
    <row r="41" ht="15" customHeight="1" s="139">
      <c r="A41" s="250" t="inlineStr">
        <is>
          <t>6. 有效P = P + 利率折价（成长股-6pp/周期股-4pp/防御股0pp）</t>
        </is>
      </c>
    </row>
    <row r="42" ht="15" customHeight="1" s="139">
      <c r="A42" s="250" t="inlineStr">
        <is>
          <t>7. 审核频率：每周日一次 + P值跨越60%阈值时 + 新机会加入时</t>
        </is>
      </c>
    </row>
    <row r="43" ht="15" customHeight="1" s="139">
      <c r="A43" s="250" t="inlineStr">
        <is>
          <t>8. 本次审核：2026-06-04 | 下次预计：2026-06-11</t>
        </is>
      </c>
    </row>
    <row r="44" ht="15" customHeight="1" s="139">
      <c r="A44" s="250" t="inlineStr">
        <is>
          <t>9. 数据来源：Sheet2持仓数据 + 待重仓监控.md + 6/4盘中价格</t>
        </is>
      </c>
    </row>
    <row r="45" ht="15" customHeight="1" s="139">
      <c r="A45" s="250" t="inlineStr">
        <is>
          <t>10. 小龙虾技术分析：长电科技(先进封装广度最强) + 通富微电(AMD封测不可替代)</t>
        </is>
      </c>
    </row>
    <row r="47" ht="17.15" customHeight="1" s="139">
      <c r="A47" s="219" t="inlineStr">
        <is>
          <t>📖 现金锁定机制说明（机制v2）</t>
        </is>
      </c>
    </row>
    <row r="48" ht="15" customHeight="1" s="139">
      <c r="A48" s="182" t="inlineStr">
        <is>
          <t>公式：折后仓位% = 原目标仓位% × (1 - 现金锁定系数)</t>
        </is>
      </c>
    </row>
    <row r="49" ht="15" customHeight="1" s="139">
      <c r="A49" s="230" t="inlineStr">
        <is>
          <t>现金锁定系数 = 达利欧泡沫概率(70%) × 三源互锁强度(1.0=强印证) × 时间衰减(剩余月数/12)</t>
        </is>
      </c>
    </row>
    <row r="50" ht="15" customHeight="1" s="139">
      <c r="A50" s="230" t="inlineStr">
        <is>
          <t>当前计算：0.70 × 1.0 × (5/12≈0.42) ≈ 0.65 → 65%现金锁定</t>
        </is>
      </c>
    </row>
    <row r="51" ht="15" customHeight="1" s="139">
      <c r="A51" s="230" t="inlineStr">
        <is>
          <t>解锁条件：三源信号任一落地（达利欧：七姐妹&gt;15%回调；李大霄：多数成分股下跌；中期选举：11月美股跌）</t>
        </is>
      </c>
    </row>
    <row r="52" ht="15" customHeight="1" s="139">
      <c r="A52" s="230" t="inlineStr">
        <is>
          <t>已持仓不受影响（养殖/电池/有色等），仅影响待重仓的新现金分配</t>
        </is>
      </c>
    </row>
    <row r="53" ht="15" customHeight="1" s="139">
      <c r="A53" s="251" t="inlineStr">
        <is>
          <t>每月重算：时间衰减系数随11月临近而增大→现金锁定系数下降→折后仓位上升</t>
        </is>
      </c>
    </row>
    <row r="54" ht="15" customHeight="1" s="139">
      <c r="A54" s="230" t="inlineStr">
        <is>
          <t>更新日志：2026-06-04 首次加入现金锁定机制 v2 | 下次审核：2026-06-11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selection activeCell="A1" sqref="A1"/>
    </sheetView>
  </sheetViews>
  <sheetFormatPr baseColWidth="8" defaultRowHeight="15"/>
  <cols>
    <col width="120" customWidth="1" style="139" min="1" max="1"/>
  </cols>
  <sheetData>
    <row r="1">
      <c r="A1" s="270" t="inlineStr">
        <is>
          <t>🔬 深度分析报告 (2026-06-06)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</t>
        </is>
      </c>
    </row>
    <row r="5">
      <c r="A5" s="274" t="inlineStr">
        <is>
          <t xml:space="preserve">  生成时间: 2026-06-06 00:43</t>
        </is>
      </c>
    </row>
    <row r="6">
      <c r="A6" s="274">
        <f>===============================================================================</f>
        <v/>
      </c>
    </row>
    <row r="7">
      <c r="A7" s="274" t="inlineStr">
        <is>
          <t xml:space="preserve">
【一】持仓全景（全部27只基金）</t>
        </is>
      </c>
    </row>
    <row r="8">
      <c r="A8" s="274" t="inlineStr">
        <is>
          <t>--------------------------------------------------------------------------------</t>
        </is>
      </c>
    </row>
    <row r="9">
      <c r="A9" s="274" t="inlineStr">
        <is>
          <t>基金名称                         代码       成本     今日涨跌       净值</t>
        </is>
      </c>
    </row>
    <row r="10">
      <c r="A10" s="274" t="inlineStr">
        <is>
          <t>--------------------------------------------------------------------------------</t>
        </is>
      </c>
    </row>
    <row r="11">
      <c r="A11" s="274" t="inlineStr">
        <is>
          <t xml:space="preserve">  汇添富上证科创板芯片ETF联接A         020628     3206   -4.87%   3.5305</t>
        </is>
      </c>
    </row>
    <row r="12">
      <c r="A12" s="274" t="inlineStr">
        <is>
          <t xml:space="preserve">  南方中证电池主题ETF联接A           018926     6811   -1.88%   1.7183</t>
        </is>
      </c>
    </row>
    <row r="13">
      <c r="A13" s="274" t="inlineStr">
        <is>
          <t xml:space="preserve">  天弘恒生科技ETF联接C             012349     4822   -1.66%   0.6725</t>
        </is>
      </c>
    </row>
    <row r="14">
      <c r="A14" s="274" t="inlineStr">
        <is>
          <t xml:space="preserve">  招商中证畜牧养殖ETF联接C           014415     4432   -0.48%   0.7249</t>
        </is>
      </c>
    </row>
    <row r="15">
      <c r="A15" s="274" t="inlineStr">
        <is>
          <t xml:space="preserve">  南方有色金属ETF联接C             004433     4800   -2.12%   1.8756</t>
        </is>
      </c>
    </row>
    <row r="16">
      <c r="A16" s="274" t="inlineStr">
        <is>
          <t xml:space="preserve">  嘉实中证稀有金属主题ETF联接C         014111     5822   -1.24%   1.0594</t>
        </is>
      </c>
    </row>
    <row r="17">
      <c r="A17" s="274" t="inlineStr">
        <is>
          <t xml:space="preserve">  银行ETF联接C                 001595        -   +1.32%   1.6526</t>
        </is>
      </c>
    </row>
    <row r="18">
      <c r="A18" s="274" t="inlineStr">
        <is>
          <t xml:space="preserve">  景顺长城中证科创创业人工智能ETF        027048      101   -4.08%   1.1090</t>
        </is>
      </c>
    </row>
    <row r="19">
      <c r="A19" s="274" t="inlineStr">
        <is>
          <t xml:space="preserve">  国泰黄金ETF联接A               000218     2787   -0.01%   3.5234</t>
        </is>
      </c>
    </row>
    <row r="20">
      <c r="A20" s="274" t="inlineStr">
        <is>
          <t xml:space="preserve">  博时黄金ETF联接C               002611     3267   -0.01%   3.0625</t>
        </is>
      </c>
    </row>
    <row r="21">
      <c r="A21" s="274" t="inlineStr">
        <is>
          <t xml:space="preserve">  建信上海金ETF联接C              009034     2939   +0.00%   2.2511</t>
        </is>
      </c>
    </row>
    <row r="22">
      <c r="A22" s="274" t="inlineStr">
        <is>
          <t xml:space="preserve">  前海开源金银珠宝混合C              002207     8839   -1.15%   2.5340</t>
        </is>
      </c>
    </row>
    <row r="23">
      <c r="A23" s="274" t="inlineStr">
        <is>
          <t xml:space="preserve">  永赢先进制造智选A                018124        -   +0.74%   2.4177</t>
        </is>
      </c>
    </row>
    <row r="24">
      <c r="A24" s="274" t="inlineStr">
        <is>
          <t xml:space="preserve">  嘉实自由现金流联接C               024575        -   -0.62%   1.1112</t>
        </is>
      </c>
    </row>
    <row r="25">
      <c r="A25" s="274" t="inlineStr">
        <is>
          <t xml:space="preserve">  华宝纳斯达克精选QA               017436        -   -0.28%   2.5059</t>
        </is>
      </c>
    </row>
    <row r="26">
      <c r="A26" s="274" t="inlineStr">
        <is>
          <t xml:space="preserve">  华宝有色联接C                  017141        -   -2.14%   1.6717</t>
        </is>
      </c>
    </row>
    <row r="27">
      <c r="A27" s="274" t="inlineStr">
        <is>
          <t xml:space="preserve">  景顺招利6月债券A                010011        -   -0.20%   1.3247</t>
        </is>
      </c>
    </row>
    <row r="28">
      <c r="A28" s="274" t="inlineStr">
        <is>
          <t xml:space="preserve">  汇添富鑫享添利6月A               012951        -   -0.13%   1.1815</t>
        </is>
      </c>
    </row>
    <row r="29">
      <c r="A29" s="274" t="inlineStr">
        <is>
          <t xml:space="preserve">  永赢医药创新A                  015915        -   -1.17%   1.4207</t>
        </is>
      </c>
    </row>
    <row r="30">
      <c r="A30" s="274" t="inlineStr">
        <is>
          <t xml:space="preserve">  广发碳中和混合C                 018419        -   -2.25%   1.9262</t>
        </is>
      </c>
    </row>
    <row r="31">
      <c r="A31" s="274" t="inlineStr">
        <is>
          <t xml:space="preserve">  天弘绿色电力C                  017175        -   -3.68%   1.2385</t>
        </is>
      </c>
    </row>
    <row r="32">
      <c r="A32" s="274" t="inlineStr">
        <is>
          <t xml:space="preserve">  摩根日本精选QC                 019449        -        -        -</t>
        </is>
      </c>
    </row>
    <row r="33">
      <c r="A33" s="274" t="inlineStr">
        <is>
          <t xml:space="preserve">  华宝海外科技QA                 501312        -   +0.00%   2.4162</t>
        </is>
      </c>
    </row>
    <row r="34">
      <c r="A34" s="274" t="inlineStr">
        <is>
          <t xml:space="preserve">  摩根日本精选QA                 007280        -        -        -</t>
        </is>
      </c>
    </row>
    <row r="35">
      <c r="A35" s="274" t="inlineStr">
        <is>
          <t xml:space="preserve">  港股通互联网联接A                027127        -   -0.32%   1.0106</t>
        </is>
      </c>
    </row>
    <row r="36">
      <c r="A36" s="274" t="inlineStr">
        <is>
          <t xml:space="preserve">  广发全球精选QDIIC              021277        -   -0.17%   6.7843</t>
        </is>
      </c>
    </row>
    <row r="37">
      <c r="A37" s="274" t="inlineStr">
        <is>
          <t xml:space="preserve">  平安先进制造C                  019458        -   +1.66%   1.8590</t>
        </is>
      </c>
    </row>
    <row r="38">
      <c r="A38" s="274" t="inlineStr">
        <is>
          <t xml:space="preserve">  大成有色期货联接C                007911        -        -        -</t>
        </is>
      </c>
    </row>
    <row r="39">
      <c r="A39" s="274" t="inlineStr">
        <is>
          <t xml:space="preserve">
  追踪持仓总市值: 45531元  总盈亏: -2296元</t>
        </is>
      </c>
    </row>
    <row r="40">
      <c r="A40" s="274" t="inlineStr">
        <is>
          <t xml:space="preserve">
【二】信源深度分析（事实核查+传导评估）</t>
        </is>
      </c>
    </row>
    <row r="41">
      <c r="A41" s="274">
        <f>===============================================================================</f>
        <v/>
      </c>
    </row>
    <row r="42">
      <c r="A42" s="274" t="inlineStr">
        <is>
          <t xml:space="preserve">
  伊娃 → 养殖</t>
        </is>
      </c>
    </row>
    <row r="43">
      <c r="A43" s="274" t="inlineStr">
        <is>
          <t xml:space="preserve">  ────────────────────────────────────────────────────────────</t>
        </is>
      </c>
    </row>
    <row r="44">
      <c r="A44" s="274" t="inlineStr">
        <is>
          <t xml:space="preserve">  事件:</t>
        </is>
      </c>
    </row>
    <row r="45">
      <c r="A45" s="274" t="inlineStr">
        <is>
          <t xml:space="preserve">    06-03: 仔猪价格硬挺420元→供给收缩有序 (+1pp, 事实)</t>
        </is>
      </c>
    </row>
    <row r="46">
      <c r="A46" s="274" t="inlineStr">
        <is>
          <t xml:space="preserve">    05-26: 17/18猪企亏损→加速去产能确认 (+5pp, 事实)</t>
        </is>
      </c>
    </row>
    <row r="47">
      <c r="A47" s="274" t="inlineStr">
        <is>
          <t xml:space="preserve">  事实核查:</t>
        </is>
      </c>
    </row>
    <row r="48">
      <c r="A48" s="274" t="inlineStr">
        <is>
          <t xml:space="preserve">    - 仔猪价格420元：需查牧原股份/温氏股份财报验证</t>
        </is>
      </c>
    </row>
    <row r="49">
      <c r="A49" s="274" t="inlineStr">
        <is>
          <t xml:space="preserve">    - 17/18猪企亏损：可查2026年中报，牧原/温氏/新希望等利润数据</t>
        </is>
      </c>
    </row>
    <row r="50">
      <c r="A50" s="274" t="inlineStr">
        <is>
          <t xml:space="preserve">    - 供给收缩：查能繁母猪存栏量（农业农村部月度数据）</t>
        </is>
      </c>
    </row>
    <row r="51">
      <c r="A51" s="274" t="inlineStr">
        <is>
          <t xml:space="preserve">  传导分析:</t>
        </is>
      </c>
    </row>
    <row r="52">
      <c r="A52" s="274" t="inlineStr">
        <is>
          <t xml:space="preserve">    传导链：亏损→减产→供给减少→猪价上涨→ETF涨</t>
        </is>
      </c>
    </row>
    <row r="53">
      <c r="A53" s="274" t="inlineStr">
        <is>
          <t xml:space="preserve">    传导周期：能繁母猪→仔猪→出栏→猪价，约6-12个月</t>
        </is>
      </c>
    </row>
    <row r="54">
      <c r="A54" s="274" t="inlineStr">
        <is>
          <t xml:space="preserve">    当前状态：ETF跌15.7%，但传导可能还没到价格层</t>
        </is>
      </c>
    </row>
    <row r="55">
      <c r="A55" s="274" t="inlineStr">
        <is>
          <t xml:space="preserve">    宏观干扰：利率上行可能压制整个市场估值</t>
        </is>
      </c>
    </row>
    <row r="56">
      <c r="A56" s="274" t="inlineStr">
        <is>
          <t xml:space="preserve">  结论: 事实层待核查，传导层待观察（周期长），暂不调整权重</t>
        </is>
      </c>
    </row>
    <row r="57">
      <c r="A57" s="274" t="inlineStr">
        <is>
          <t xml:space="preserve">
  付鹏 → 芯片, 恒科, 银行</t>
        </is>
      </c>
    </row>
    <row r="58">
      <c r="A58" s="274" t="inlineStr">
        <is>
          <t xml:space="preserve">  ────────────────────────────────────────────────────────────</t>
        </is>
      </c>
    </row>
    <row r="59">
      <c r="A59" s="274" t="inlineStr">
        <is>
          <t xml:space="preserve">  事件:</t>
        </is>
      </c>
    </row>
    <row r="60">
      <c r="A60" s="274" t="inlineStr">
        <is>
          <t xml:space="preserve">    05-16: 存储=AI基建 (+2pp, 虚P)</t>
        </is>
      </c>
    </row>
    <row r="61">
      <c r="A61" s="274" t="inlineStr">
        <is>
          <t xml:space="preserve">    06-02: 恒科套利闭环不可持续 (-3pp, 事实)</t>
        </is>
      </c>
    </row>
    <row r="62">
      <c r="A62" s="274" t="inlineStr">
        <is>
          <t xml:space="preserve">    05-19: 港股结构性偏弱 (-2pp, 事实)</t>
        </is>
      </c>
    </row>
    <row r="63">
      <c r="A63" s="274" t="inlineStr">
        <is>
          <t xml:space="preserve">    06-02: 去杠杆周期不利 (-2pp, 虚P)</t>
        </is>
      </c>
    </row>
    <row r="64">
      <c r="A64" s="274" t="inlineStr">
        <is>
          <t xml:space="preserve">  事实核查:</t>
        </is>
      </c>
    </row>
    <row r="65">
      <c r="A65" s="274" t="inlineStr">
        <is>
          <t xml:space="preserve">    - 存储=AI基建：可查DRAM/NAND价格趋势（TrendForce数据）</t>
        </is>
      </c>
    </row>
    <row r="66">
      <c r="A66" s="274" t="inlineStr">
        <is>
          <t xml:space="preserve">    - 恒科套利：可查南向资金流量、恒科溢价率</t>
        </is>
      </c>
    </row>
    <row r="67">
      <c r="A67" s="274" t="inlineStr">
        <is>
          <t xml:space="preserve">    - 港股偏弱：可查恒生指数估值PE/PB分位数</t>
        </is>
      </c>
    </row>
    <row r="68">
      <c r="A68" s="274" t="inlineStr">
        <is>
          <t xml:space="preserve">  传导分析:</t>
        </is>
      </c>
    </row>
    <row r="69">
      <c r="A69" s="274" t="inlineStr">
        <is>
          <t xml:space="preserve">    芯片：存储涨价→芯片ETF涨16.4% → 传导快（资金直接买）</t>
        </is>
      </c>
    </row>
    <row r="70">
      <c r="A70" s="274" t="inlineStr">
        <is>
          <t xml:space="preserve">    恒科：套利闭环破裂→恒科跌5% → 传导快（估值调整）</t>
        </is>
      </c>
    </row>
    <row r="71">
      <c r="A71" s="274" t="inlineStr">
        <is>
          <t xml:space="preserve">    银行：去杠杆→银行跌1.4% → 传导中（净息差影响）</t>
        </is>
      </c>
    </row>
    <row r="72">
      <c r="A72" s="274" t="inlineStr">
        <is>
          <t xml:space="preserve">  结论: 事实层部分可查，传导层高效（2/2实P方向对），样本不足暂不调整</t>
        </is>
      </c>
    </row>
    <row r="73">
      <c r="A73" s="274" t="inlineStr">
        <is>
          <t xml:space="preserve">
  宋鸿兵 → 芯片, 电池</t>
        </is>
      </c>
    </row>
    <row r="74">
      <c r="A74" s="274" t="inlineStr">
        <is>
          <t xml:space="preserve">  ────────────────────────────────────────────────────────────</t>
        </is>
      </c>
    </row>
    <row r="75">
      <c r="A75" s="274" t="inlineStr">
        <is>
          <t xml:space="preserve">  事件:</t>
        </is>
      </c>
    </row>
    <row r="76">
      <c r="A76" s="274" t="inlineStr">
        <is>
          <t xml:space="preserve">    06-03: 摩尔定律物理+经济双重极限 (+3pp, 事实)</t>
        </is>
      </c>
    </row>
    <row r="77">
      <c r="A77" s="274" t="inlineStr">
        <is>
          <t xml:space="preserve">    06-03: 油价危机OECD红线 (+4pp, 虚P)</t>
        </is>
      </c>
    </row>
    <row r="78">
      <c r="A78" s="274" t="inlineStr">
        <is>
          <t xml:space="preserve">  事实核查:</t>
        </is>
      </c>
    </row>
    <row r="79">
      <c r="A79" s="274" t="inlineStr">
        <is>
          <t xml:space="preserve">    - 摩尔定律极限：可查Intel/TSMC制程进展、AI芯片功耗数据</t>
        </is>
      </c>
    </row>
    <row r="80">
      <c r="A80" s="274" t="inlineStr">
        <is>
          <t xml:space="preserve">    - 油价危机：可查OECD商业库存、布伦特原油价格</t>
        </is>
      </c>
    </row>
    <row r="81">
      <c r="A81" s="274" t="inlineStr">
        <is>
          <t xml:space="preserve">  传导分析:</t>
        </is>
      </c>
    </row>
    <row r="82">
      <c r="A82" s="274" t="inlineStr">
        <is>
          <t xml:space="preserve">    芯片：摩尔极限→技术突破需求→芯片涨16.4% → 传导成立</t>
        </is>
      </c>
    </row>
    <row r="83">
      <c r="A83" s="274" t="inlineStr">
        <is>
          <t xml:space="preserve">    电池：油价高→新能源需求→但电池跌8% → 传导被宏观覆盖？</t>
        </is>
      </c>
    </row>
    <row r="84">
      <c r="A84" s="274" t="inlineStr">
        <is>
          <t xml:space="preserve">  结论: 芯片方向对，电池方向矛盾（油价高但电池跌），需区分宏观vs产业</t>
        </is>
      </c>
    </row>
    <row r="85">
      <c r="A85" s="274" t="inlineStr">
        <is>
          <t xml:space="preserve">
  凯文·沃什（美联储） → 芯片</t>
        </is>
      </c>
    </row>
    <row r="86">
      <c r="A86" s="274" t="inlineStr">
        <is>
          <t xml:space="preserve">  ────────────────────────────────────────────────────────────</t>
        </is>
      </c>
    </row>
    <row r="87">
      <c r="A87" s="274" t="inlineStr">
        <is>
          <t xml:space="preserve">  事件:</t>
        </is>
      </c>
    </row>
    <row r="88">
      <c r="A88" s="274" t="inlineStr">
        <is>
          <t xml:space="preserve">    05-22: 就任美联储主席→利率风暴 (-8pp, 宏观)</t>
        </is>
      </c>
    </row>
    <row r="89">
      <c r="A89" s="274" t="inlineStr">
        <is>
          <t xml:space="preserve">  事实核查:</t>
        </is>
      </c>
    </row>
    <row r="90">
      <c r="A90" s="274" t="inlineStr">
        <is>
          <t xml:space="preserve">    - 利率上行：可查10年期美债收益率（从4.x%升到5.x%）</t>
        </is>
      </c>
    </row>
    <row r="91">
      <c r="A91" s="274" t="inlineStr">
        <is>
          <t xml:space="preserve">    - 美联储态度：点阵图、鲍威尔讲话</t>
        </is>
      </c>
    </row>
    <row r="92">
      <c r="A92" s="274" t="inlineStr">
        <is>
          <t xml:space="preserve">  传导分析:</t>
        </is>
      </c>
    </row>
    <row r="93">
      <c r="A93" s="274" t="inlineStr">
        <is>
          <t xml:space="preserve">    理论：利率↑→成长股估值↓→芯片应跌</t>
        </is>
      </c>
    </row>
    <row r="94">
      <c r="A94" s="274" t="inlineStr">
        <is>
          <t xml:space="preserve">    实际：芯片涨16.4% → 产业利好（AI存储）&gt; 宏观利空（利率）</t>
        </is>
      </c>
    </row>
    <row r="95">
      <c r="A95" s="274" t="inlineStr">
        <is>
          <t xml:space="preserve">    结论：利率对芯片的传导被AI产业需求覆盖了</t>
        </is>
      </c>
    </row>
    <row r="96">
      <c r="A96" s="274" t="inlineStr">
        <is>
          <t xml:space="preserve">  结论: 宏观事实对，但传导被产业覆盖→权重应区分"纯宏观影响"vs"宏观+产业"场景</t>
        </is>
      </c>
    </row>
    <row r="97">
      <c r="A97" s="274" t="inlineStr">
        <is>
          <t xml:space="preserve">
  霍尔木兹通航 → 养殖</t>
        </is>
      </c>
    </row>
    <row r="98">
      <c r="A98" s="274" t="inlineStr">
        <is>
          <t xml:space="preserve">  ────────────────────────────────────────────────────────────</t>
        </is>
      </c>
    </row>
    <row r="99">
      <c r="A99" s="274" t="inlineStr">
        <is>
          <t xml:space="preserve">  事件:</t>
        </is>
      </c>
    </row>
    <row r="100">
      <c r="A100" s="274" t="inlineStr">
        <is>
          <t xml:space="preserve">    05-24: 霍尔木兹通航→利好养殖 (+9pp, 虚P)</t>
        </is>
      </c>
    </row>
    <row r="101">
      <c r="A101" s="274" t="inlineStr">
        <is>
          <t xml:space="preserve">  事实核查:</t>
        </is>
      </c>
    </row>
    <row r="102">
      <c r="A102" s="274" t="inlineStr">
        <is>
          <t xml:space="preserve">    - 霍尔木兹通航状态：可查原油价格、航运费率</t>
        </is>
      </c>
    </row>
    <row r="103">
      <c r="A103" s="274" t="inlineStr">
        <is>
          <t xml:space="preserve">    - 传导链：通航→油价跌→饲料成本跌→养殖利润改善</t>
        </is>
      </c>
    </row>
    <row r="104">
      <c r="A104" s="274" t="inlineStr">
        <is>
          <t xml:space="preserve">  传导分析:</t>
        </is>
      </c>
    </row>
    <row r="105">
      <c r="A105" s="274" t="inlineStr">
        <is>
          <t xml:space="preserve">    传导链断了三层：</t>
        </is>
      </c>
    </row>
    <row r="106">
      <c r="A106" s="274" t="inlineStr">
        <is>
          <t xml:space="preserve">      1. 油价→国内饲料价格（关税/自给率缓冲）</t>
        </is>
      </c>
    </row>
    <row r="107">
      <c r="A107" s="274" t="inlineStr">
        <is>
          <t xml:space="preserve">      2. 饲料成本→养殖利润（存栏周期延迟）</t>
        </is>
      </c>
    </row>
    <row r="108">
      <c r="A108" s="274" t="inlineStr">
        <is>
          <t xml:space="preserve">      3. 利润改善→ETF价格（市场情绪配合）</t>
        </is>
      </c>
    </row>
    <row r="109">
      <c r="A109" s="274" t="inlineStr">
        <is>
          <t xml:space="preserve">    结论：+9pp强度严重过高，间接传导不应给这么大权重</t>
        </is>
      </c>
    </row>
    <row r="110">
      <c r="A110" s="274" t="inlineStr">
        <is>
          <t xml:space="preserve">  结论: 虚P，传导链过长，强度定得不合理→事件强度本身需校准</t>
        </is>
      </c>
    </row>
    <row r="111">
      <c r="A111" s="274" t="inlineStr">
        <is>
          <t xml:space="preserve">
【三】P值校准（基于深度分析）</t>
        </is>
      </c>
    </row>
    <row r="112">
      <c r="A112" s="274">
        <f>===============================================================================</f>
        <v/>
      </c>
    </row>
    <row r="113">
      <c r="A113" s="274" t="inlineStr">
        <is>
          <t xml:space="preserve">
持仓        原P    原PP    拟合     20日      持有 问题诊断                          </t>
        </is>
      </c>
    </row>
    <row r="114">
      <c r="A114" s="274" t="inlineStr">
        <is>
          <t>--------------------------------------------------------------------------------</t>
        </is>
      </c>
    </row>
    <row r="115">
      <c r="A115" s="274" t="inlineStr">
        <is>
          <t xml:space="preserve">  芯片      41%    -4pp    0分  +16.4%   +3.9% 拟合0分:漏了存储→资金传导事件;P偏低</t>
        </is>
      </c>
    </row>
    <row r="116">
      <c r="A116" s="274" t="inlineStr">
        <is>
          <t xml:space="preserve">  电池      65%   +23pp   97分   -8.1%   +6.0% 拟合97分:可靠;短期回调中</t>
        </is>
      </c>
    </row>
    <row r="117">
      <c r="A117" s="274" t="inlineStr">
        <is>
          <t xml:space="preserve">  恒科      27%   -16pp   75分   -3.4%   -6.0% 拟合75分:方向对;悲观但合理</t>
        </is>
      </c>
    </row>
    <row r="118">
      <c r="A118" s="274" t="inlineStr">
        <is>
          <t xml:space="preserve">  养殖      70%   +15pp   95分  -14.3%  -12.5% 拟合95分但P虚高:伊娃+霍尔木兹权重问题</t>
        </is>
      </c>
    </row>
    <row r="119">
      <c r="A119" s="274" t="inlineStr">
        <is>
          <t xml:space="preserve">  有色      39%   -11pp    0分  -10.7%   -0.4% 拟合0分:样本少;方向对但需验证</t>
        </is>
      </c>
    </row>
    <row r="120">
      <c r="A120" s="274" t="inlineStr">
        <is>
          <t xml:space="preserve">  稀金      40%   -10pp    0分   +0.0%   +0.8% 拟合0分:样本少;关税传导需更多数据</t>
        </is>
      </c>
    </row>
    <row r="121">
      <c r="A121" s="274" t="inlineStr">
        <is>
          <t xml:space="preserve">  银行      47%    -3pp   53分   -1.4%   +0.0% 拟合53分:一般;利率传导-1pp合理</t>
        </is>
      </c>
    </row>
    <row r="122">
      <c r="A122" s="274" t="inlineStr">
        <is>
          <t xml:space="preserve">
  校准建议:</t>
        </is>
      </c>
    </row>
    <row r="123">
      <c r="A123" s="274" t="inlineStr">
        <is>
          <t xml:space="preserve">  1. 芯片: 41%→48% (补存储→资金传导+5pp, 存储涨81%后资金搬入芯片)</t>
        </is>
      </c>
    </row>
    <row r="124">
      <c r="A124" s="274" t="inlineStr">
        <is>
          <t xml:space="preserve">  2. 养殖: 70%→55% (伊娃传导待验证-5pp, 霍尔木兹强度过高-10pp调为-5pp)</t>
        </is>
      </c>
    </row>
    <row r="125">
      <c r="A125" s="274" t="inlineStr">
        <is>
          <t xml:space="preserve">  3. 电池: 65%维持 (拟合97分可靠)</t>
        </is>
      </c>
    </row>
    <row r="126">
      <c r="A126" s="274" t="inlineStr">
        <is>
          <t xml:space="preserve">  4. 恒科: 27%维持 (拟合75分方向对)</t>
        </is>
      </c>
    </row>
    <row r="127">
      <c r="A127" s="274" t="inlineStr">
        <is>
          <t xml:space="preserve">  5. 有色/稀金: 维持 (样本不足，等更多数据)</t>
        </is>
      </c>
    </row>
    <row r="128">
      <c r="A128" s="274" t="inlineStr">
        <is>
          <t xml:space="preserve">
【四】赔率计算</t>
        </is>
      </c>
    </row>
    <row r="129">
      <c r="A129" s="274">
        <f>===============================================================================</f>
        <v/>
      </c>
    </row>
    <row r="130">
      <c r="A130" s="274" t="inlineStr">
        <is>
          <t xml:space="preserve">
持仓        P值    波动率     下行风险    确定性    溢价     赔率    正期望 操作</t>
        </is>
      </c>
    </row>
    <row r="131">
      <c r="A131" s="274" t="inlineStr">
        <is>
          <t>--------------------------------------------------------------------------------</t>
        </is>
      </c>
    </row>
    <row r="132">
      <c r="A132" s="274" t="inlineStr">
        <is>
          <t xml:space="preserve">  芯片      41%  46.0%     9.4%   0.8  1.5x   5.4:1  2.20 观望</t>
        </is>
      </c>
    </row>
    <row r="133">
      <c r="A133" s="274" t="inlineStr">
        <is>
          <t xml:space="preserve">  电池      65%  32.7%     3.9%   0.7  1.1x  12.6:1  8.16 持有</t>
        </is>
      </c>
    </row>
    <row r="134">
      <c r="A134" s="274" t="inlineStr">
        <is>
          <t xml:space="preserve">  恒科      27%  27.5%     6.9%   0.6  0.9x   2.1:1  0.58 不干</t>
        </is>
      </c>
    </row>
    <row r="135">
      <c r="A135" s="274" t="inlineStr">
        <is>
          <t xml:space="preserve">  养殖      70%  21.5%     2.2%   0.5  0.7x  11.3:1  7.89 持有</t>
        </is>
      </c>
    </row>
    <row r="136">
      <c r="A136" s="274" t="inlineStr">
        <is>
          <t xml:space="preserve">  有色      39%  39.2%     8.3%   0.4  1.3x   2.5:1  0.96 观望</t>
        </is>
      </c>
    </row>
    <row r="137">
      <c r="A137" s="274" t="inlineStr">
        <is>
          <t xml:space="preserve">  稀金      40%  39.2%     8.1%   0.4  1.3x   2.6:1  1.03 观望</t>
        </is>
      </c>
    </row>
    <row r="138">
      <c r="A138" s="274" t="inlineStr">
        <is>
          <t xml:space="preserve">  银行      47%  13.3%     2.4%   0.3  0.4x   2.6:1  1.21 观望</t>
        </is>
      </c>
    </row>
    <row r="139">
      <c r="A139" s="274" t="inlineStr">
        <is>
          <t xml:space="preserve">
【五】跨品种传导矩阵（隐藏信息）</t>
        </is>
      </c>
    </row>
    <row r="140">
      <c r="A140" s="274">
        <f>===============================================================================</f>
        <v/>
      </c>
    </row>
    <row r="141">
      <c r="A141" s="274" t="inlineStr">
        <is>
          <t xml:space="preserve">
  利率上行传导:
    理论: 利率↑→成长股↓→芯片/恒科应跌
    实际: 芯片涨16.4%! 恒科跌5%
    发现: AI产业需求覆盖了利率利空→利率对"有产业支撑的科技股"传导失效
    含义: 以后利率事件对芯片的权重应降低（产业&gt;宏观）
  霍尔木兹传导:
    理论: 通航→油价↓→饲料成本↓→养殖利润↑
    实际: 养殖跌15.7%
    发现: 传导链3层断裂→间接传导效率极低
    含义: 霍尔木兹对养殖的+9pp强度严重过高，应降至+2pp或直接标记虚P
  AI/科技传导:
    理论: AI基建利好芯片
    实际: 芯片涨16.4%，但恒科跌5%
    发现: 同是科技，芯片（硬科技/存储）vs恒科（互联网/估值）分化
    含义: "科技"不是单一品类，需拆分为"硬科技"和"互联网"分别建模
  关税传导:
    理论: 301+欧盟关税→资源品需求↓
    实际: 有色跌10.7%，稀金变化不大
    发现: 有色（铜铝）对关税敏感，稀金（稀土）有反制溢价缓冲
    含义: 同为资源，传导效率不同，需分品种建模
</t>
        </is>
      </c>
    </row>
    <row r="142">
      <c r="A142" s="274" t="inlineStr">
        <is>
          <t xml:space="preserve">
【六】操作建议（基于P值×赔率正期望）</t>
        </is>
      </c>
    </row>
    <row r="143">
      <c r="A143" s="274">
        <f>===============================================================================</f>
        <v/>
      </c>
    </row>
    <row r="144">
      <c r="A144" s="274" t="inlineStr">
        <is>
          <t xml:space="preserve">
  持仓              P值   赔率    正期望  持有盈亏  建议
  ─────────────────────────────────────────────────────────
  南方电池主题ETF联接A  65%  2.0:1   1.30  +6.01%  ✅ 持有（两条腿都稳）
  汇添富芯片ETF联接A   48%  1.5:1   0.72  +3.93%  ⚠️ 等回调加仓（P偏低但产业强）
  天弘恒生科技ETF联接C  27%  0.4:1   0.11  -5.95%  ❌ 不干（P+赔率都低）
  招商畜牧养殖ETF联接C  55%  1.2:1   0.66 -12.49%  ⚠️ 谨慎持有（P校准后下降，等右侧信号）
  南方有色金属ETF联接C  39%  1.7:1   0.66  -0.41%  ⏸ 观望（样本少）
  嘉实稀有金属ETF联接C  40%  1.6:1   0.64  +0.85%  ⏸ 观望（样本少）
  黄金组4只合计: -2018元 → 避险配置，维持
  核心结论:
  1. 只有电池满足"高P+高赔率"→正期望&gt;1→持有
  2. 芯片产业逻辑强但P值偏低→等回调（如-10%）加仓
  3. 养殖P值从70%校准到55%→正期望下降→不再激进
  4. 恒科P+赔率双低→不操作
</t>
        </is>
      </c>
    </row>
  </sheetData>
  <mergeCells count="143">
    <mergeCell ref="A115:Z115"/>
    <mergeCell ref="A93:Z93"/>
    <mergeCell ref="A102:Z102"/>
    <mergeCell ref="A77:Z77"/>
    <mergeCell ref="A34:Z34"/>
    <mergeCell ref="A83:Z83"/>
    <mergeCell ref="A92:Z92"/>
    <mergeCell ref="A49:Z49"/>
    <mergeCell ref="A138:Z138"/>
    <mergeCell ref="A36:Z36"/>
    <mergeCell ref="A119:Z119"/>
    <mergeCell ref="A1:Z1"/>
    <mergeCell ref="A94:Z94"/>
    <mergeCell ref="A69:Z69"/>
    <mergeCell ref="A78:Z78"/>
    <mergeCell ref="A65:Z65"/>
    <mergeCell ref="A75:Z75"/>
    <mergeCell ref="A133:Z133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130:Z130"/>
    <mergeCell ref="A24:Z24"/>
    <mergeCell ref="A73:Z73"/>
    <mergeCell ref="A82:Z82"/>
    <mergeCell ref="A60:Z60"/>
    <mergeCell ref="A123:Z123"/>
    <mergeCell ref="A132:Z132"/>
    <mergeCell ref="A110:Z110"/>
    <mergeCell ref="A124:Z124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141:Z141"/>
    <mergeCell ref="A135:Z135"/>
    <mergeCell ref="A144:Z144"/>
    <mergeCell ref="A122:Z122"/>
    <mergeCell ref="A20:Z20"/>
    <mergeCell ref="A125:Z125"/>
    <mergeCell ref="A72:Z72"/>
    <mergeCell ref="A29:Z29"/>
    <mergeCell ref="A134:Z134"/>
    <mergeCell ref="A81:Z81"/>
    <mergeCell ref="A112:Z112"/>
    <mergeCell ref="A121:Z121"/>
    <mergeCell ref="A13:Z13"/>
    <mergeCell ref="A44:Z44"/>
    <mergeCell ref="A127:Z127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126:Z126"/>
    <mergeCell ref="A140:Z140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143:Z143"/>
    <mergeCell ref="A39:Z39"/>
    <mergeCell ref="A48:Z48"/>
    <mergeCell ref="A30:Z30"/>
    <mergeCell ref="A142:Z142"/>
    <mergeCell ref="A11:Z11"/>
    <mergeCell ref="A45:Z45"/>
    <mergeCell ref="A103:Z103"/>
    <mergeCell ref="A79:Z79"/>
    <mergeCell ref="A87:Z87"/>
    <mergeCell ref="A128:Z128"/>
    <mergeCell ref="A137:Z137"/>
    <mergeCell ref="A37:Z37"/>
    <mergeCell ref="A46:Z46"/>
    <mergeCell ref="A89:Z89"/>
    <mergeCell ref="A136:Z136"/>
    <mergeCell ref="A21:Z21"/>
    <mergeCell ref="A105:Z105"/>
    <mergeCell ref="A26:Z26"/>
    <mergeCell ref="A57:Z57"/>
    <mergeCell ref="A139:Z139"/>
    <mergeCell ref="A71:Z71"/>
    <mergeCell ref="A129:Z129"/>
    <mergeCell ref="A23:Z23"/>
    <mergeCell ref="A116:Z116"/>
    <mergeCell ref="A8:Z8"/>
    <mergeCell ref="A91:Z91"/>
    <mergeCell ref="A131:Z13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2026-06-05T16:43:24Z</dcterms:modified>
  <cp:revision>7</cp:revision>
</cp:coreProperties>
</file>
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sz val="11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660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1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top" wrapText="1"/>
    </xf>
    <xf numFmtId="0" fontId="22" fillId="14" borderId="0" applyAlignment="1" pivotButton="0" quotePrefix="0" xfId="0">
      <alignment horizontal="general" vertical="bottom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4" fillId="15" borderId="1" applyAlignment="1" pivotButton="0" quotePrefix="0" xfId="0">
      <alignment horizontal="general" vertical="top" wrapText="1"/>
    </xf>
    <xf numFmtId="0" fontId="21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22" fillId="16" borderId="1" applyAlignment="1" pivotButton="0" quotePrefix="0" xfId="0">
      <alignment horizontal="general" vertical="top" wrapText="1"/>
    </xf>
    <xf numFmtId="0" fontId="22" fillId="14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22" fillId="16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10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6" pivotButton="0" quotePrefix="0" xfId="0"/>
    <xf numFmtId="0" fontId="0" fillId="0" borderId="7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10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1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top" wrapText="1"/>
    </xf>
    <xf numFmtId="0" fontId="22" fillId="14" borderId="0" applyAlignment="1" pivotButton="0" quotePrefix="0" xfId="0">
      <alignment horizontal="general" vertical="bottom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4" fillId="15" borderId="1" applyAlignment="1" pivotButton="0" quotePrefix="0" xfId="0">
      <alignment horizontal="general" vertical="top" wrapText="1"/>
    </xf>
    <xf numFmtId="0" fontId="21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22" fillId="16" borderId="1" applyAlignment="1" pivotButton="0" quotePrefix="0" xfId="0">
      <alignment horizontal="general" vertical="top" wrapText="1"/>
    </xf>
    <xf numFmtId="0" fontId="22" fillId="14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22" fillId="16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10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10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10" authorId="0" shapeId="0">
      <text>
        <t>信息源：闭眼看世界抖音2026-05-20
核心内容：日本过境领空地缘风险
推理链：东亚地缘紧张→避险情绪↑
P值调整：+1pp</t>
      </text>
    </comment>
    <comment ref="A11" authorId="0" shapeId="0">
      <text>
        <t>信息源：沃什政策背景分析
核心内容：沃什偏鹰派立场→缩表+不降息
推理链：利率维持高位→成长股估值承压</t>
      </text>
    </comment>
    <comment ref="A12" authorId="0" shapeId="0">
      <text>
        <t>信息源：宋鸿兵2026-05-19
核心内容：利率风暴席卷全球，股债双杀只是开始
推理链：美债收益率↑→全球流动性收紧
P值调整：-3pp</t>
      </text>
    </comment>
    <comment ref="D12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12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12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12" authorId="0" shapeId="0">
      <text>
        <t>信息源：闭眼看世界抖音2026-05-27
核心内容：地缘升级→黄金受益
P值调整：+2pp
影响持仓：稀金+2pp</t>
      </text>
    </comment>
    <comment ref="A13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11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11" authorId="0" shapeId="0">
      <text>
        <t>来源: 未知
日期: 2026-06-05
P值: +1pp
---
核心: 闻号：厄尔尼诺80%概率+AI用电爆发→电力/能源确定性受益，电池产业链间接利好</t>
      </text>
    </comment>
    <comment ref="C11" authorId="0" shapeId="0">
      <text>
        <t>来源: 闻号6/8知乎【信源:C级
日期: 2026-06-08
P值: -1pp
---
核心: 韩国熔断日经跌5%，亚洲恐慌传导至港股</t>
      </text>
    </comment>
    <comment ref="D11" authorId="0" shapeId="0">
      <text>
        <t>来源: 转录:生猪贸易_7647885902051625209
日期: 2026-06-06
P值: +1pp
---
核心: 生猪贸易：淘汰母猪价格=唯一骗不了人的指标</t>
      </text>
    </comment>
    <comment ref="E11" authorId="0" shapeId="0">
      <text>
        <t>来源: 闭眼看世界6/8抖音【信源:B级
日期: 2026-06-08
P值: -1pp
---
核心: EU对中国钢铁加征50%关税，贸易战升级利空工业金属</t>
      </text>
    </comment>
    <comment ref="F11" authorId="0" shapeId="0">
      <text>
        <t>来源: 环中星鉴6/8知乎
日期: 2026-06-08
P值: +1pp
---
核心: 央行连续19个月增持黄金，外储站稳3.4万亿。央行结构性增持黄金趋势确认</t>
      </text>
    </comment>
    <comment ref="G11" authorId="0" shapeId="0">
      <text>
        <t>来源: 未知
日期: 2026-06-05
P值: -1pp
---
核心: 闻号：央行逆回购归零+DR007上穿政策利率→最宽松阶段过去，不利净息差</t>
      </text>
    </comment>
    <comment ref="H11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11" authorId="0" shapeId="0">
      <text>
        <t>来源: 闻号6/8知乎【信源:C级
日期: 2026-06-08
P值: -1pp
---
核心: OPEC宣布7/1起日均增产18.8万桶，压制油价</t>
      </text>
    </comment>
    <comment ref="A12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12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12" authorId="0" shapeId="0">
      <text>
        <t>来源: 古都闲云6/6知乎【信源:C级
日期: 2026-06-06
P值: -2pp
---
核心: 非农超预期→纳指跌1100点→加息预期压制恒科</t>
      </text>
    </comment>
    <comment ref="D12" authorId="0" shapeId="0">
      <text>
        <t>来源: 转录:生猪贸易_7648309392954386299
日期: 2026-06-06
P值: +1pp
---
核心: 生猪贸易：大体重猪仍在大量卖，养一天赔一天</t>
      </text>
    </comment>
    <comment ref="E12" authorId="0" shapeId="0">
      <text>
        <t>来源: 未知
日期: 2026-06-05
P值: -1pp
---
核心: 闻号：301关税60国→工业金属需求预期下降，转口贸易路变窄</t>
      </text>
    </comment>
    <comment ref="F12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12" authorId="0" shapeId="0">
      <text>
        <t>日期: 2026-06-02
P值: 虚P -2pp</t>
      </text>
    </comment>
    <comment ref="H12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12" authorId="0" shapeId="0">
      <text>
        <t>来源: RFI/闻号6/7【信源:B级
日期: 2026-06-07
P值: +2pp
---
核心: 停火以来伊朗首次袭击以色列，地缘风险重燃</t>
      </text>
    </comment>
    <comment ref="A13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13" authorId="0" shapeId="0">
      <text>
        <t>来源: 闻号6/2
日期: 2026-06-02
P值: +2pp
---
核心: 维力能储能全球第二+锂电全链布局，储能赛道确定受益于AI用电爆发</t>
      </text>
    </comment>
    <comment ref="C13" authorId="0" shapeId="0">
      <text>
        <t>来源: 未知
日期: 2026-06-05
P值: -1pp
---
核心: 闻号：孙正义高杠杆AI泡沫风险+美股流动性饥渴+301关税60国→压制恒科</t>
      </text>
    </comment>
    <comment ref="D13" authorId="0" shapeId="0">
      <text>
        <t>来源: 转录:伊娃_7648158651937345698
日期: 2026-06-06
P值: +1pp
---
核心: 伊娃：火腿大叔黑猪33年品牌+三产融合</t>
      </text>
    </comment>
    <comment ref="E13" authorId="0" shapeId="0">
      <text>
        <t>来源: 未知
日期: 2026-06-05
P值: -1pp
---
核心: 闻号：301关税60国→稀土反制牌短期有效但长期不确定</t>
      </text>
    </comment>
    <comment ref="F13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13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13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13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4" authorId="0" shapeId="0">
      <text>
        <t>来源: 蒋宇飞6/8抖音【A级】
日期: 2026-06-08
P值: 虚P +1pp</t>
      </text>
    </comment>
    <comment ref="B14" authorId="0" shapeId="0">
      <text>
        <t>来源: 未知
日期: 2026-05-24
P值: +4pp
---
核心: 霍尔木兹通航修正</t>
      </text>
    </comment>
    <comment ref="C14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4" authorId="0" shapeId="0">
      <text>
        <t>来源: 未知
日期: 2026-06-06
P值: +1pp
---
核心: 生猪贸易：淘汰母猪价格加快=底部信号</t>
      </text>
    </comment>
    <comment ref="E14" authorId="0" shapeId="0">
      <text>
        <t>来源: 未知
日期: 2026-06-03
P值: -5pp
---
核心: 知乎6/3联动：301关税+欧盟钢铁关税→工业金属需求预期下降，转口贸易路变窄</t>
      </text>
    </comment>
    <comment ref="F14" authorId="0" shapeId="0">
      <text>
        <t>日期: 2026-06-06
P值: 虚P +1pp
原文: 2026-06-06
【虚P+1pp】闻号说经济：日股跳水韩股熔断SK海力士跌8%，银行股相对避险</t>
      </text>
    </comment>
    <comment ref="G14" authorId="0" shapeId="0">
      <text>
        <t>来源: 未知
日期: 2026-05-22
P值: -2pp
---
核心: 无知半人：住户贷款狂减4902亿</t>
      </text>
    </comment>
    <comment ref="H14" authorId="0" shapeId="0">
      <text>
        <t>来源: 拿幸6/8抖音【C级】
日期: 2026-06-08
P值: 虚P +1pp
原文: AI意识争议+边缘AI本地化爆发，Gemma4可跑16G笔记本</t>
      </text>
    </comment>
    <comment ref="K14" authorId="0" shapeId="0">
      <text>
        <t>来源: 未知
日期: 2026-06-01
P值: +2pp
---
核心: 摩根大通：海峡重开需等'痛到极点'</t>
      </text>
    </comment>
    <comment ref="A15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5" authorId="0" shapeId="0">
      <text>
        <t>来源: 未知
日期: 2026-05-21
P值: +0pp
---
核心: 中科院固态锂电池突破（逻辑簇强化）</t>
      </text>
    </comment>
    <comment ref="C15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5" authorId="0" shapeId="0">
      <text>
        <t>来源: 转录:生猪贸易_7647447103488358585
日期: 2026-06-05
P值: +1pp
---
核心: 生猪贸易：大集团负债高，3个月不涨母猪血流成河=抄底</t>
      </text>
    </comment>
    <comment ref="E15" authorId="0" shapeId="0">
      <text>
        <t>来源: 未知
日期: 2026-06-03
P值: -3pp
---
核心: 知乎6/3联动：贸易利空，稀土反制牌短期有效但长期不确定</t>
      </text>
    </comment>
    <comment ref="F15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5" authorId="0" shapeId="0">
      <text>
        <t>来源: 未知
日期: 2026-05-22
P值: -3pp
---
核心: 无知半人：住户贷款狂减4902亿</t>
      </text>
    </comment>
    <comment ref="H15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5" authorId="0" shapeId="0">
      <text>
        <t>来源: 未知
日期: 2026-05-29
P值: +5pp
---
核心: 宋鸿兵：OECD库存6月触红线，$111最坏情景</t>
      </text>
    </comment>
    <comment ref="A16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6" authorId="0" shapeId="0">
      <text>
        <t>来源: 未知
日期: 2026-05-20
P值: +1pp
---
核心: 光储旺季+美债压制</t>
      </text>
    </comment>
    <comment ref="C16" authorId="0" shapeId="0">
      <text>
        <t>来源: 未知
日期: 2026-05-27
P值: -2pp
---
核心: 【已作废】美军轰炸伊朗→霍尔木兹P'作废</t>
      </text>
    </comment>
    <comment ref="D16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6" authorId="0" shapeId="0">
      <text>
        <t>来源: 知乎6/3
日期: 2026-05-22
P值: +4pp
---
核心: AI铜需求爆发+资金回流，工业金属长期需求逻辑不变，短期宏观压制</t>
      </text>
    </comment>
    <comment ref="F16" authorId="0" shapeId="0">
      <text>
        <t>来源: 古都闲云6/4知乎【信源:C级
日期: 2026-06-04
P值: +1pp
---
核心: 全球央行重新扫货黄金，金价波动加剧</t>
      </text>
    </comment>
    <comment ref="G16" authorId="0" shapeId="0">
      <text>
        <t>来源: 未知
日期: 2026-05-20
P值: -3pp
---
核心: 多空交织：低开高走验证磨底 + 美债5.18%压制</t>
      </text>
    </comment>
    <comment ref="H16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6" authorId="0" shapeId="0">
      <text>
        <t>来源: 未知
日期: 2026-05-29
P值: +3pp
---
核心: 日本面粉涨24%，油价传导消费品确认</t>
      </text>
    </comment>
    <comment ref="A17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7" authorId="0" shapeId="0">
      <text>
        <t>来源: 未知
日期: 2026-05-19
P值: +5pp
---
核心: 碳酸锂跌价+巴克莱看多</t>
      </text>
    </comment>
    <comment ref="C17" authorId="0" shapeId="0">
      <text>
        <t>来源: 未知
日期: 2026-05-26
P值: -4pp
---
核心: 恒生三巨头财报验证：非价值陷阱确认</t>
      </text>
    </comment>
    <comment ref="D17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7" authorId="0" shapeId="0">
      <text>
        <t>来源: 未知
日期: 2026-05-20
P值: -3pp
---
核心: 有色金属持续走弱+美债压制</t>
      </text>
    </comment>
    <comment ref="F17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7" authorId="0" shapeId="0">
      <text>
        <t>来源: 未知
日期: 2026-05-19
P值: -2pp
---
核心: 古都闲云：社消数据疲弱</t>
      </text>
    </comment>
    <comment ref="H17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7" authorId="0" shapeId="0">
      <text>
        <t>来源: 未知
日期: 2026-04-07
P值: +4pp
---
核心: 美军空袭哈尔克岛+以色列同步打击</t>
      </text>
    </comment>
    <comment ref="A18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8" authorId="0" shapeId="0">
      <text>
        <t>来源: 未知
日期: 2026-05-14
P值: +3pp
---
核心: 电池ETF涨2.73%+多重利好</t>
      </text>
    </comment>
    <comment ref="C18" authorId="0" shapeId="0">
      <text>
        <t>来源: 未知
日期: 2026-05-19
P值: -2pp
---
核心: 韩国闪崩（情绪叠加）</t>
      </text>
    </comment>
    <comment ref="D18" authorId="0" shapeId="0">
      <text>
        <t>来源: 转录:伊娃_7647569172259985000
日期: 2026-06-04
P值: +1pp
---
核心: 伊娃：牧原秦英林辞任董事长，90后二代接班</t>
      </text>
    </comment>
    <comment ref="E18" authorId="0" shapeId="0">
      <text>
        <t>来源: 未知
日期: 2026-05-19
P值: -2pp
---
核心: 岩松笔记 + 付鹏对冲：逻辑分类修正</t>
      </text>
    </comment>
    <comment ref="F18" authorId="0" shapeId="0">
      <text>
        <t>来源: 未知
日期: 2026-05-29
P值: +1pp
---
核心: 闭眼看世界：俄乌升级→地缘风险溢价</t>
      </text>
    </comment>
    <comment ref="G18" authorId="0" shapeId="0">
      <text>
        <t>30年美债收益率已突破5%，10年突破4.5%双红线。特朗普被内塔尼亚胡逼迫准备毫无胜算的战争</t>
      </text>
    </comment>
    <comment ref="H18" authorId="0" shapeId="0">
      <text>
        <t>来源: 闻号+环中星鉴6/7知乎【信源:C级
日期: 2026-06-07
P值: -1pp
---
核心: SpaceX/OpenAI/Anthropic扎堆天价IPO，美股泡沫担忧</t>
      </text>
    </comment>
    <comment ref="A19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9" authorId="0" shapeId="0">
      <text>
        <t>来源: 未知
日期: 2026-05-13
P值: +5pp
---
核心: 特朗普访华+恩捷40亿扩产</t>
      </text>
    </comment>
    <comment ref="C19" authorId="0" shapeId="0">
      <text>
        <t>来源: 未知
日期: 2026-05-19
P值: -2pp
---
核心: 付鹏×2：港股结构性偏弱 + 风险偏好极值 + 古都闲云社消疲弱</t>
      </text>
    </comment>
    <comment ref="D19" authorId="0" shapeId="0">
      <text>
        <t>来源: 未知
日期: 2026-06-03
P值: +1pp
---
核心: 【事实】伊娃：仔猪价格硬挺420元→供给收缩有序</t>
      </text>
    </comment>
    <comment ref="E19" authorId="0" shapeId="0">
      <text>
        <t>来源: 未知
日期: 2026-05-15
P值: -8pp
---
核心: 有色金属板块持续资金净流出</t>
      </text>
    </comment>
    <comment ref="F19" authorId="0" shapeId="0">
      <text>
        <t>来源: 未知
日期: 2026-05-19
P值: -5pp
---
核心: 岩松笔记：资源非长期抗通胀→HALO联动风险</t>
      </text>
    </comment>
    <comment ref="G19" authorId="0" shapeId="0">
      <text>
        <t>凯文沃什5月22日正式就职。特朗普表面支持降息，沃什坚持独立性</t>
      </text>
    </comment>
    <comment ref="H19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20" authorId="0" shapeId="0">
      <text>
        <t>来源: 蒋宇飞6/7抖音【A级】
日期: 2026-06-07
P值: 虚P +2pp</t>
      </text>
    </comment>
    <comment ref="C20" authorId="0" shapeId="0">
      <text>
        <t>来源: 未知
日期: 2026-05-15
P值: +1pp
---
核心: 机构研报确认景气上行</t>
      </text>
    </comment>
    <comment ref="D20" authorId="0" shapeId="0">
      <text>
        <t>日期: 2026-06-02
P值: 虚P +4pp
原文: 2026-06-02
+4pp
【虚P】美国猪周期启示+17/18亏损+行业关注+厄尔尼诺</t>
      </text>
    </comment>
    <comment ref="E20" authorId="0" shapeId="0">
      <text>
        <t>来源: 蒋宇飞手动提供
日期: 未知
P值: 虚P+1pp
---
核心: 蒋宇飞看好有色金属稀土：AI驱动新能源革命大幅拉升电池材料需求</t>
      </text>
    </comment>
    <comment ref="F20" authorId="0" shapeId="0">
      <text>
        <t>欧盟对中国电动汽车加征关税。同时对中国光伏逆变器、钢铁等发起调查</t>
      </text>
    </comment>
    <comment ref="G20" authorId="0" shapeId="0">
      <text>
        <t>经济周期位置分析：大部分人在去杠杆，造成普遍困难感</t>
      </text>
    </comment>
    <comment ref="H20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21" authorId="0" shapeId="0">
      <text>
        <t>来源: 未知
日期: 2026-06-05
P值: +0pp
---
核心: 闻号：AI芯片出口管制升级(利好国产替代) vs 韩股vsA股结构差异拥挤度警告(利空)→抵消</t>
      </text>
    </comment>
    <comment ref="D21" authorId="0" shapeId="0">
      <text>
        <t>来源: 未知
日期: 2026-05-26
P值: +5pp
---
核心: 伊娃读财报18期：17/18猪企亏损，加速去产能确认</t>
      </text>
    </comment>
    <comment ref="E21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21" authorId="0" shapeId="0">
      <text>
        <t>欧盟对中国钢铁加征关税翻倍至50%，涉及焊接钢网等基础工业品</t>
      </text>
    </comment>
    <comment ref="H21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22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22" authorId="0" shapeId="0">
      <text>
        <t>伊娃跟踪仔猪价格趋势，养殖行业供给端变化</t>
      </text>
    </comment>
    <comment ref="F22" authorId="0" shapeId="0">
      <text>
        <t>如果AI在18个月扩散到各行各业→蛋糕增长→风险下降。如果AI是假的→全球制度秩序冲击。一手黄金一手AI的纠结将在今年见分晓</t>
      </text>
    </comment>
    <comment ref="H22" authorId="0" shapeId="0">
      <text>
        <t>日期: 2026-06-02
P值: 虚P +2pp
原文: 2026-06-02
+2pp
【虚P】蒋宇飞AI基建10年+国产算力长城</t>
      </text>
    </comment>
    <comment ref="A23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23" authorId="0" shapeId="0">
      <text>
        <t>来源: 伊娃6月初
日期: 未知
P值: -1pp
---
核心: 生猪出栏体重变化：大猪占比仍高，去产能尚未结束</t>
      </text>
    </comment>
    <comment ref="H23" authorId="0" shapeId="0">
      <text>
        <t>黄仁勋罕见深度访谈，谈AI算力需求、系统级交付趋势</t>
      </text>
    </comment>
    <comment ref="A24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4" authorId="0" shapeId="0">
      <text>
        <t>来源: 伊娃6月初
日期: 未知
P值: +1pp
---
核心: 中小养户资金链：融资环境恶化加快退出</t>
      </text>
    </comment>
    <comment ref="H24" authorId="0" shapeId="0">
      <text>
        <t>世纪审判马斯克诉OpenAI案，影响AI开源生态</t>
      </text>
    </comment>
    <comment ref="A25" authorId="0" shapeId="0">
      <text>
        <t>日期: 2026-05-16
P值: 虚P +2pp
原文: 2026-05-16
+2pp
【虚P】付鹏：存储=AI基建（观点→共识信号）</t>
      </text>
    </comment>
    <comment ref="D25" authorId="0" shapeId="0">
      <text>
        <t>生猪期货近月弱远月强，市场定价下半年供需改善</t>
      </text>
    </comment>
    <comment ref="H25" authorId="0" shapeId="0">
      <text>
        <t>ANTHROPIC cloud open48，agent编程能力质的飞跃</t>
      </text>
    </comment>
    <comment ref="A26" authorId="0" shapeId="0">
      <text>
        <t>芯片晶体管每两年翻一番的节奏已到物理极限，经济上制造越来越贵，推动堆叠/先进封装路线</t>
      </text>
    </comment>
    <comment ref="H26" authorId="0" shapeId="0">
      <text>
        <t>emergence world实验报告，AI已具备自我复制+改进能力</t>
      </text>
    </comment>
    <comment ref="A27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7" authorId="0" shapeId="0">
      <text>
        <t>ANTHROPIC Claude code自愈功能上线</t>
      </text>
    </comment>
    <comment ref="H28" authorId="0" shapeId="0">
      <text>
        <t>微软Build大会：Windows转型为agent运行系统，Scout成为首个企业级autopilot</t>
      </text>
    </comment>
    <comment ref="H29" authorId="0" shapeId="0">
      <text>
        <t>欧盟一天内对特木罚款2亿欧元+启动京东补贴调查，数字贸易战升级</t>
      </text>
    </comment>
    <comment ref="H30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4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8"/>
  <sheetViews>
    <sheetView showFormulas="0" showGridLines="1" showRowColHeaders="1" showZeros="1" rightToLeft="0" tabSelected="0" showOutlineSymbols="1" defaultGridColor="1" view="normal" topLeftCell="A49" colorId="64" zoomScale="100" zoomScaleNormal="100" zoomScalePageLayoutView="100" workbookViewId="0">
      <selection pane="topLeft" activeCell="A54" activeCellId="0" sqref="A54"/>
    </sheetView>
  </sheetViews>
  <sheetFormatPr baseColWidth="8" defaultColWidth="8.6171875" defaultRowHeight="15" customHeight="0" zeroHeight="0" outlineLevelRow="0"/>
  <cols>
    <col width="18" customWidth="1" style="171" min="1" max="8"/>
    <col width="35" customWidth="1" style="172" min="4" max="4"/>
    <col width="35" customWidth="1" style="172" min="5" max="5"/>
    <col width="35" customWidth="1" style="172" min="6" max="6"/>
    <col width="35" customWidth="1" style="172" min="7" max="7"/>
  </cols>
  <sheetData>
    <row r="1" ht="16.5" customHeight="1" s="172">
      <c r="A1" s="173" t="inlineStr">
        <is>
          <t>持仓总看板 (2026-06-13)</t>
        </is>
      </c>
    </row>
    <row r="2" ht="16.5" customHeight="1" s="172">
      <c r="A2" s="173" t="inlineStr">
        <is>
          <t>🔴 宏观传导链</t>
        </is>
      </c>
    </row>
    <row r="3" ht="15" customHeight="1" s="172">
      <c r="A3" s="174" t="inlineStr">
        <is>
          <t>【利率】</t>
        </is>
      </c>
      <c r="C3" s="175" t="inlineStr">
        <is>
          <t>【地缘】</t>
        </is>
      </c>
      <c r="D3" s="176" t="inlineStr">
        <is>
          <t>【经济】</t>
        </is>
      </c>
      <c r="E3" s="177" t="inlineStr">
        <is>
          <t>【能源】</t>
        </is>
      </c>
      <c r="F3" s="178" t="inlineStr">
        <is>
          <t>【产业】</t>
        </is>
      </c>
      <c r="G3" s="179" t="inlineStr">
        <is>
          <t>【避险】</t>
        </is>
      </c>
    </row>
    <row r="4" ht="95.25" customHeight="1" s="172">
      <c r="A4" s="180" t="inlineStr">
        <is>
          <t>2026-06-06 非农超预期→加息预期升温→2年国债4.15%&gt;基准3.5%~3.75%，年底加息25bp定价</t>
        </is>
      </c>
      <c r="C4" s="180" t="inlineStr">
        <is>
          <t>2026-06-07 伊朗停火以来首次袭击以色列</t>
        </is>
      </c>
      <c r="D4" s="180" t="inlineStr">
        <is>
          <t>2026-06-06 非农5月+172万就业超预期一倍，标普跌2.6%蒸发1.8万亿</t>
        </is>
      </c>
      <c r="E4" s="180" t="inlineStr">
        <is>
          <t>2026-06-06 黑色星期五：油价跌2%至$93，但霍尔木兹封锁未解除+OPEC增产对冲</t>
        </is>
      </c>
      <c r="F4" s="180" t="inlineStr">
        <is>
          <t>2026-06-05 博通AI收入+200%但股价暴跌15%→利好出尽信号；2026-06-08 韩国熔断半导体暴跌</t>
        </is>
      </c>
      <c r="G4" s="180" t="inlineStr">
        <is>
          <t>2026-06-06 黄金暴跌3.6%白银跌8%，央行19个月增持黄金支撑长期</t>
        </is>
      </c>
    </row>
    <row r="5" ht="95.25" customHeight="1" s="172">
      <c r="D5" s="181" t="inlineStr">
        <is>
          <t>2026-06-15 欧日抢跑宽松+美国加息回马枪=全球利率格局逆转，索罗斯做空亚太【源:events/2026-06-15-小遥说商业-欧日抢跑美国加息回马枪】</t>
        </is>
      </c>
      <c r="F5" s="181" t="inlineStr">
        <is>
          <t>2026-06-15 小遥说商业：欧日宽松+美国加息回马枪→做空亚太→恒科虚P-3pp，有色/稀金虚P+2pp</t>
        </is>
      </c>
      <c r="G5" s="181" t="inlineStr">
        <is>
          <t>2026-06-15 美欧日利率分化索罗斯做空亚太→不确定性上升→黄金避险需求增加虚P+1pp</t>
        </is>
      </c>
    </row>
    <row r="6" ht="48" customHeight="1" s="172">
      <c r="D6" s="171" t="inlineStr">
        <is>
          <t>2026-06-15(补录) 欧央行加息25Bp+韩国限制借钱炒股300亿美元=全球去杠杆共振，经济修复偏慢延续【源:events/2026-06-14-闻号说经济-欧央行加息25bp】【源:events/2026-06-14-闻号说经济-韩国限制借钱炒股】</t>
        </is>
      </c>
      <c r="E6" s="182" t="inlineStr">
        <is>
          <t>2026-06-15(补录) 芳姐喊猪价暴雷→产能加速出清，右侧布局窗口更近【源:events/2026-06-15-芳姐-猪价暴雷-产能出清加速】
2026-06-15(补录) 美伊和平协议披露→地缘风险缓解→原油供应增加预期，油价承压【源:events/2026-06-14-闻号说经济-美伊和平协议大宗波动】</t>
        </is>
      </c>
      <c r="F6" s="182" t="inlineStr">
        <is>
          <t>2026-06-15(补录) DeepSeek在美国逆袭→中国AI信心增强，芯片虚P+0.5pp【源:events/2026-06-15-闭眼看世界-地缘转向-DeepSeek突围-菲律宾制裁】
2026-06-15(补录) Fable5被叫停持续发酵(拿幸连发4条)，但监管分水岭已确认，虚实P不动【源:events/2026-06-14-拿幸-Fable5被叫停-AI监管进入强约束时代】</t>
        </is>
      </c>
      <c r="G6" s="171" t="inlineStr">
        <is>
          <t>2026-06-15(补录) 南海升温(制裁菲律宾防长)+DeepSeek美国逆袭→地缘避险需求上升，黄金虚P+1pp【源:events/2026-06-15-闭眼看世界-地缘转向-DeepSeek突围-菲律宾制裁】
2026-06-15(补录) 欧央行加息+美伊和平协议→黄金短期承压，央行购金长期支撑不变【源:events/2026-06-14-闻号说经济-欧央行加息25bp】</t>
        </is>
      </c>
    </row>
    <row r="7" ht="63.75" customHeight="1" s="172">
      <c r="D7" s="182" t="inlineStr">
        <is>
          <t>2026-06-14(补录) 5月金融数据：M2增8.6%+居民降杠杆延续+韩国限制借钱炒股300亿美元→去杠杆全球共振，经济修复偏慢【源:events/2026-06-14-闻号说经济-5月金融居民降杠杆M2】【源:events/2026-06-14-闻号说经济-韩国限制借钱炒股】
2026-06-14(补录) 欧央行加息25Bp→全球紧缩延续，中国货币政策空间受限【源:events/2026-06-14-闻号说经济-欧央行加息25bp】</t>
        </is>
      </c>
      <c r="E7" s="171" t="inlineStr">
        <is>
          <t>2026-06-14(补录) 美伊和平协议披露→地缘风险缓解→原油供应增加预期，油价承压→能源板块偏空【源:events/2026-06-14-闻号说经济-美伊和平协议大宗波动】</t>
        </is>
      </c>
      <c r="F7" s="182" t="inlineStr">
        <is>
          <t>2026-06-14(补录) SpaceX上市带动太空经济+科技牛市散户冷淡=结构分化加剧，龙头主导vs散户缺位【源:events/2026-06-14-明珠是只猪-科技牛市散户为何不感兴趣】
2026-06-14(补录) 韩国限制借钱炒股300亿美元→亚洲杠杆监管趋严，科技股情绪受压制【源:events/2026-06-14-闻号说经济-韩国限制借钱炒股】</t>
        </is>
      </c>
      <c r="G7" s="182" t="inlineStr">
        <is>
          <t>2026-06-14(补录) 美伊和平协议地缘降温+欧央行加息→避险资产(黄金)短期承压，但央行购金长期支撑不变【源:events/2026-06-14-闻号说经济-美伊和平协议大宗波动】
2026-06-14(补录) 欧央行加息25Bp→实际利率上升→黄金短期偏空【源:events/2026-06-14-闻号说经济-欧央行加息25bp】</t>
        </is>
      </c>
    </row>
    <row r="8" ht="63.75" customHeight="1" s="172">
      <c r="F8" s="171" t="inlineStr">
        <is>
          <t>2026-06-14(18:23) 拿幸：Fable5提示词泄露(下架≠能力消失+AI人格可复制)+Fable5被政府叫停(AI监管强约束时代到来)→AI虚P-2pp【源:events/2026-06-14-拿幸-Fable5系统提示词泄露】
2026-06-14(18:23) 拿幸：Fable5被美国政府叫停→AI消费者风险(刚付费就没了)+AI竞争从能力竞赛升级为合规+安全+治理竞赛【源:events/2026-06-14-拿幸-Fable5被叫停】</t>
        </is>
      </c>
    </row>
    <row r="9" ht="63.75" customHeight="1" s="172">
      <c r="A9" s="183" t="n"/>
      <c r="B9" s="184" t="n"/>
      <c r="C9" s="183" t="n"/>
      <c r="D9" s="183" t="inlineStr">
        <is>
          <t>2026-06-14 三大IPO抽血1500-2000亿美元+美股集中度40%→流动性利空恒科/银行【源:events/2026-06-14-联合分析-21信号汇总】
【前瞻6/14】流动性偏弱(BTC $64.5K从70K回落)，CPI重返4%降息窗口关闭→宏观逆风不变【源:events/前瞻周报】</t>
        </is>
      </c>
      <c r="E9" s="183" t="inlineStr">
        <is>
          <t>2026-06-14 日本六氟化物6/30永久停产→钨超级周期启动+以钼代钨革命→有色/稀金+8pp【源:events/2026-06-14-联合分析-21信号汇总】</t>
        </is>
      </c>
      <c r="F9" s="183" t="inlineStr">
        <is>
          <t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
【追加6/14】但斌+夏迎春：调整是暂时的，不会"过去"，之后会迎来更大上涨（与任泽平黄金坑同向，平行信源佐证）【来源:但斌+夏迎春6/14】【信源:C级口头转述】</t>
        </is>
      </c>
      <c r="G9" s="183" t="inlineStr">
        <is>
          <t>2026-06-14 SpaceX IPO+美军拳师号撤离中东→战争溢价消退→资金流向黄金避险【源:events/2026-06-14-联合分析-21信号汇总】
【前瞻6/14】黄金$4,242，央行购金持续+CPI 4%实际利率为负→基本面完好，短期波动大【源:events/前瞻周报】</t>
        </is>
      </c>
      <c r="H9" s="184" t="n"/>
      <c r="I9" s="184" t="n"/>
      <c r="J9" s="184" t="n"/>
      <c r="K9" s="184" t="n"/>
    </row>
    <row r="10" ht="48" customHeight="1" s="172">
      <c r="A10" s="180" t="inlineStr">
        <is>
          <t>2026-06-02 宋鸿兵：沃什就任美联储主席，特朗普施压降息vs独立性博弈；30年美债破5%、10年破4.5%双红线</t>
        </is>
      </c>
      <c r="B10" s="185" t="n"/>
      <c r="C10" s="180" t="inlineStr">
        <is>
          <t>2026-05-29 闭眼看世界 - 俄罗斯对基辅最猛烈袭击</t>
        </is>
      </c>
      <c r="D10" s="183" t="inlineStr">
        <is>
          <t>2026-06-12 闭眼看世界：SpaceX 1.77万亿IPO+OpenAI秘密递交+Anthropic跟上，三大巨头扎堆上市抽水，美股集中度40%=1929/2000警戒线【源:闭眼看世界6/12】</t>
        </is>
      </c>
      <c r="E10" s="183" t="inlineStr">
        <is>
          <t>2026-06-12 宋鸿兵：油价扛不住→国债扛不住→股市扛不住，黑色星期五只是序幕，未来三个月非常动荡，不要去玩杠杆【源:宋鸿兵6/12】</t>
        </is>
      </c>
      <c r="F10" s="183" t="inlineStr">
        <is>
          <t>2026-06-12 拿幸：OpenAI递交IPO冲击万亿+Claude5被攻破安全双刃剑+蒋宇飞清华系芯片叙事【源:拿幸/蒋宇飞6/12】</t>
        </is>
      </c>
      <c r="G10" s="183" t="inlineStr">
        <is>
          <t>2026-06-12 闭眼看世界：三大IPO抽水+地缘动荡→避险需求走强，黄金中期利好【源:闭眼看世界6/12】</t>
        </is>
      </c>
      <c r="H10" s="185" t="n"/>
    </row>
    <row r="11" ht="48" customHeight="1" s="172">
      <c r="A11" s="180" t="inlineStr">
        <is>
          <t>2026-05-28 知乎高赞 — 为什么达利欧说「债市是所有市场的支柱」？</t>
        </is>
      </c>
      <c r="B11" s="186" t="n"/>
      <c r="C11" s="180" t="inlineStr">
        <is>
          <t>2026-05-20 抖音：闭眼看世界 — 日本过境领空地缘风险</t>
        </is>
      </c>
      <c r="D11" s="187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11" s="187" t="inlineStr">
        <is>
          <t>2026-06-12 宋鸿兵：油价扛不住→国债扛不住→股市扛不住，黑色星期五只是序幕【源:events/联合日报】</t>
        </is>
      </c>
      <c r="F11" s="187" t="inlineStr">
        <is>
          <t>2026-06-12 蒋宇飞：清华系撑起芯片半导体，国产替代叙事巩固【源:蒋宇飞6/12】
拿幸：Claude5被攻破12万字泄露，AI安全双刃剑【源:拿幸6/12】</t>
        </is>
      </c>
      <c r="G11" s="187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11" s="186" t="n"/>
    </row>
    <row r="12" ht="16.5" customHeight="1" s="172">
      <c r="A12" s="180" t="inlineStr">
        <is>
          <t>2026-05-22 沃什的政策背景</t>
        </is>
      </c>
      <c r="D12" s="180" t="inlineStr">
        <is>
          <t>2026-06-02 付鹏+宋鸿兵：居民部门去杠杆周期确认（08-18加杠杆→现在全面去杠杆）</t>
        </is>
      </c>
      <c r="E12" s="180" t="inlineStr">
        <is>
          <t>2026-06-02 宋鸿兵：霍尔木兹封锁3个月，全球有效原油库存仅8.1亿桶，市场误判油价回落
2026-06-03 宋鸿兵+雪佛龙+埃克森：OECD库存6月触红线</t>
        </is>
      </c>
      <c r="F12" s="180" t="inlineStr">
        <is>
          <t>2026-06-02 芯片：蒋宇飞AI基建10年+国产算力长城（升腾+长鑫+deepseek）+玻璃基板5-10年赛道</t>
        </is>
      </c>
      <c r="G12" s="180" t="inlineStr">
        <is>
          <t>2026-05-28 Peter Schiff · 美债/美元/黄金极端观点（豆包分析版）</t>
        </is>
      </c>
    </row>
    <row r="13" ht="15" customHeight="1" s="172">
      <c r="A13" s="180" t="inlineStr">
        <is>
          <t>2026-05-19 宋鸿兵：利率风暴席卷全球，股债双杀只是开始</t>
        </is>
      </c>
      <c r="B13" s="188" t="n"/>
      <c r="C13" s="188" t="n"/>
      <c r="D13" s="188" t="n"/>
      <c r="E13" s="188" t="n"/>
      <c r="F13" s="188" t="n"/>
      <c r="G13" s="188" t="n"/>
      <c r="H13" s="189" t="n"/>
    </row>
    <row r="14" ht="15" customHeight="1" s="172">
      <c r="B14" s="171" t="n"/>
      <c r="I14" s="171" t="inlineStr">
        <is>
          <t>2026-06-13 OpenAI上市风险→左脚踩右脚循环→GPU抵押品贬值链→类似2008</t>
        </is>
      </c>
      <c r="K14" s="171" t="inlineStr">
        <is>
          <t>2026-06-13 视频AI泡沫警告+任泽平黄金坑→多空对峙，P值暂不动</t>
        </is>
      </c>
    </row>
    <row r="15" ht="15" customHeight="1" s="172">
      <c r="B15" s="171" t="n"/>
    </row>
    <row r="16" ht="33" customHeight="1" s="172">
      <c r="A16" s="171" t="inlineStr">
        <is>
          <t>2026-06-06 09:00</t>
        </is>
      </c>
      <c r="B16" s="171" t="n"/>
    </row>
    <row r="17" ht="16.5" customHeight="1" s="172">
      <c r="A17" s="171" t="inlineStr">
        <is>
          <t>2026-06-06 09:00</t>
        </is>
      </c>
      <c r="B17" s="171" t="n"/>
    </row>
    <row r="18" ht="15" customHeight="1" s="172">
      <c r="A18" s="171" t="inlineStr">
        <is>
          <t>2026-06-06 09:00</t>
        </is>
      </c>
      <c r="B18" s="171" t="n"/>
    </row>
    <row r="19" ht="15" customHeight="1" s="172">
      <c r="A19" s="190" t="inlineStr">
        <is>
          <t>🔥 叙事主线（四条）</t>
        </is>
      </c>
      <c r="B19" s="191" t="n"/>
      <c r="C19" s="192" t="n"/>
      <c r="D19" s="192" t="n"/>
      <c r="E19" s="192" t="n"/>
      <c r="F19" s="192" t="n"/>
      <c r="G19" s="192" t="n"/>
      <c r="H19" s="193" t="n"/>
    </row>
    <row r="20" ht="33" customHeight="1" s="172">
      <c r="B20" s="194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20" s="192" t="n"/>
      <c r="D20" s="192" t="n"/>
      <c r="E20" s="192" t="n"/>
      <c r="F20" s="192" t="n"/>
      <c r="G20" s="192" t="n"/>
      <c r="H20" s="193" t="n"/>
    </row>
    <row r="21" ht="16.5" customHeight="1" s="172">
      <c r="B21" s="194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21" s="192" t="n"/>
      <c r="D21" s="192" t="n"/>
      <c r="E21" s="192" t="n"/>
      <c r="F21" s="192" t="n"/>
      <c r="G21" s="192" t="n"/>
      <c r="H21" s="193" t="n"/>
    </row>
    <row r="22" ht="40.5" customHeight="1" s="172">
      <c r="A22" s="195" t="inlineStr">
        <is>
          <t>③</t>
        </is>
      </c>
      <c r="B22" s="194" t="inlineStr">
        <is>
          <t>③全球去杠杆+黑色星期五 新增：非农超预期→加息恐慌→全球risk-off。EU对华贸易战升级(钢铁关税50%)。美国301关税升级版覆盖60国99.4%进口源，日韩越欧盟全中枪。豁免稀土/石油/药品。【来源：闻号+闭眼看世界】</t>
        </is>
      </c>
      <c r="C22" s="192" t="n"/>
      <c r="D22" s="192" t="n"/>
      <c r="E22" s="192" t="n"/>
      <c r="F22" s="192" t="n"/>
      <c r="G22" s="192" t="n"/>
      <c r="H22" s="193" t="n"/>
    </row>
    <row r="23" ht="16.5" customHeight="1" s="172">
      <c r="A23" s="196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23" s="192" t="n"/>
      <c r="C23" s="192" t="n"/>
      <c r="D23" s="192" t="n"/>
      <c r="E23" s="192" t="n"/>
      <c r="F23" s="192" t="n"/>
      <c r="G23" s="192" t="n"/>
      <c r="H23" s="193" t="n"/>
    </row>
    <row r="24" ht="30" customHeight="1" s="172">
      <c r="A24" s="197" t="inlineStr">
        <is>
          <t>⚡ AI投资阶段切换指导原则（顶级置信度）</t>
        </is>
      </c>
      <c r="B24" s="198" t="n"/>
      <c r="C24" s="198" t="n"/>
      <c r="D24" s="198" t="n"/>
      <c r="E24" s="198" t="n"/>
      <c r="F24" s="198" t="n"/>
      <c r="G24" s="198" t="n"/>
      <c r="H24" s="191" t="n"/>
    </row>
    <row r="25" ht="16.5" customHeight="1" s="172">
      <c r="A25" s="197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5" s="192" t="n"/>
      <c r="C25" s="192" t="n"/>
      <c r="D25" s="192" t="n"/>
      <c r="E25" s="192" t="n"/>
      <c r="F25" s="192" t="n"/>
      <c r="G25" s="192" t="n"/>
      <c r="H25" s="193" t="n"/>
    </row>
    <row r="26" ht="15" customHeight="1" s="172">
      <c r="A26" s="199" t="n"/>
    </row>
    <row r="27" ht="16.5" customHeight="1" s="172">
      <c r="A27" s="190" t="inlineStr">
        <is>
          <t>📊 持仓状态速查表</t>
        </is>
      </c>
      <c r="B27" s="198" t="n"/>
      <c r="C27" s="198" t="n"/>
      <c r="D27" s="198" t="n"/>
      <c r="E27" s="198" t="n"/>
      <c r="F27" s="198" t="n"/>
      <c r="G27" s="198" t="n"/>
      <c r="H27" s="191" t="n"/>
    </row>
    <row r="28" ht="15" customHeight="1" s="172">
      <c r="A28" s="196" t="inlineStr">
        <is>
          <t>持仓</t>
        </is>
      </c>
      <c r="B28" s="196" t="inlineStr">
        <is>
          <t>代码</t>
        </is>
      </c>
      <c r="C28" s="196" t="inlineStr">
        <is>
          <t>当前P</t>
        </is>
      </c>
      <c r="D28" s="196" t="inlineStr">
        <is>
          <t>有效P</t>
        </is>
      </c>
      <c r="E28" s="196" t="inlineStr">
        <is>
          <t>虚P</t>
        </is>
      </c>
      <c r="F28" s="196" t="inlineStr">
        <is>
          <t>利率折价</t>
        </is>
      </c>
      <c r="G28" s="196" t="inlineStr">
        <is>
          <t>方向</t>
        </is>
      </c>
      <c r="H28" s="196" t="inlineStr">
        <is>
          <t>操作建议</t>
        </is>
      </c>
    </row>
    <row r="29" ht="15" customHeight="1" s="172">
      <c r="A29" s="194" t="inlineStr">
        <is>
          <t>芯片020628</t>
        </is>
      </c>
      <c r="B29" s="197" t="inlineStr">
        <is>
          <t>C1</t>
        </is>
      </c>
      <c r="C29" s="197" t="inlineStr">
        <is>
          <t>50</t>
        </is>
      </c>
      <c r="D29" s="197" t="inlineStr">
        <is>
          <t>44</t>
        </is>
      </c>
      <c r="E29" s="194" t="inlineStr">
        <is>
          <t>虚P+5pp</t>
        </is>
      </c>
      <c r="F29" s="194" t="inlineStr">
        <is>
          <t>利率折价-6pp</t>
        </is>
      </c>
      <c r="G29" s="194" t="inlineStr">
        <is>
          <t>🟡中性→偏多</t>
        </is>
      </c>
      <c r="H29" s="194" t="inlineStr">
        <is>
          <t>关注加仓</t>
        </is>
      </c>
    </row>
    <row r="30" ht="15" customHeight="1" s="172">
      <c r="A30" s="194" t="inlineStr">
        <is>
          <t>电池018926</t>
        </is>
      </c>
      <c r="B30" s="197" t="inlineStr">
        <is>
          <t>C2</t>
        </is>
      </c>
      <c r="C30" s="197" t="inlineStr">
        <is>
          <t>62</t>
        </is>
      </c>
      <c r="D30" s="197" t="inlineStr">
        <is>
          <t>56</t>
        </is>
      </c>
      <c r="E30" s="194" t="inlineStr">
        <is>
          <t>虚P无</t>
        </is>
      </c>
      <c r="F30" s="194" t="inlineStr">
        <is>
          <t>利率折价-6pp</t>
        </is>
      </c>
      <c r="G30" s="194" t="inlineStr">
        <is>
          <t>🟢偏多</t>
        </is>
      </c>
      <c r="H30" s="194" t="inlineStr">
        <is>
          <t>持有</t>
        </is>
      </c>
    </row>
    <row r="31" ht="15" customHeight="1" s="172">
      <c r="A31" s="194" t="inlineStr">
        <is>
          <t>恒科012349</t>
        </is>
      </c>
      <c r="B31" s="197" t="inlineStr">
        <is>
          <t>C3</t>
        </is>
      </c>
      <c r="C31" s="197" t="inlineStr">
        <is>
          <t>25</t>
        </is>
      </c>
      <c r="D31" s="197" t="inlineStr">
        <is>
          <t>19</t>
        </is>
      </c>
      <c r="E31" s="194" t="inlineStr">
        <is>
          <t>虚P无</t>
        </is>
      </c>
      <c r="F31" s="194" t="inlineStr">
        <is>
          <t>利率折价-6pp</t>
        </is>
      </c>
      <c r="G31" s="194" t="inlineStr">
        <is>
          <t>🔴偏空</t>
        </is>
      </c>
      <c r="H31" s="194" t="inlineStr">
        <is>
          <t>不加</t>
        </is>
      </c>
    </row>
    <row r="32" ht="15" customHeight="1" s="172">
      <c r="A32" s="194" t="inlineStr">
        <is>
          <t>养殖014415</t>
        </is>
      </c>
      <c r="B32" s="197" t="inlineStr">
        <is>
          <t>C4</t>
        </is>
      </c>
      <c r="C32" s="197" t="inlineStr">
        <is>
          <t>65</t>
        </is>
      </c>
      <c r="D32" s="197" t="inlineStr">
        <is>
          <t>65</t>
        </is>
      </c>
      <c r="E32" s="194" t="inlineStr">
        <is>
          <t>虚P+4pp</t>
        </is>
      </c>
      <c r="F32" s="194" t="inlineStr">
        <is>
          <t>利率折价0pp</t>
        </is>
      </c>
      <c r="G32" s="194" t="inlineStr">
        <is>
          <t>🟢偏多</t>
        </is>
      </c>
      <c r="H32" s="194" t="inlineStr">
        <is>
          <t>持有等右侧</t>
        </is>
      </c>
    </row>
    <row r="33" ht="16.5" customHeight="1" s="172">
      <c r="A33" s="194" t="inlineStr">
        <is>
          <t>有色004433</t>
        </is>
      </c>
      <c r="B33" s="197" t="inlineStr">
        <is>
          <t>C5</t>
        </is>
      </c>
      <c r="C33" s="197" t="inlineStr">
        <is>
          <t>35</t>
        </is>
      </c>
      <c r="D33" s="197" t="inlineStr">
        <is>
          <t>31</t>
        </is>
      </c>
      <c r="E33" s="194" t="inlineStr">
        <is>
          <t>虚P无</t>
        </is>
      </c>
      <c r="F33" s="194" t="inlineStr">
        <is>
          <t>利率折价-4pp</t>
        </is>
      </c>
      <c r="G33" s="194" t="inlineStr">
        <is>
          <t>🔴偏空</t>
        </is>
      </c>
      <c r="H33" s="194" t="inlineStr">
        <is>
          <t>不加</t>
        </is>
      </c>
    </row>
    <row r="34" ht="16.5" customHeight="1" s="172">
      <c r="A34" s="194" t="inlineStr">
        <is>
          <t>稀金014111</t>
        </is>
      </c>
      <c r="B34" s="197" t="inlineStr">
        <is>
          <t>C6</t>
        </is>
      </c>
      <c r="C34" s="197" t="inlineStr">
        <is>
          <t>42</t>
        </is>
      </c>
      <c r="D34" s="197" t="inlineStr">
        <is>
          <t>38</t>
        </is>
      </c>
      <c r="E34" s="194" t="inlineStr">
        <is>
          <t>虚P无</t>
        </is>
      </c>
      <c r="F34" s="194" t="inlineStr">
        <is>
          <t>利率折价-4pp</t>
        </is>
      </c>
      <c r="G34" s="194" t="inlineStr">
        <is>
          <t>🟡中性</t>
        </is>
      </c>
      <c r="H34" s="194" t="inlineStr">
        <is>
          <t>观望</t>
        </is>
      </c>
    </row>
    <row r="35" ht="16.5" customHeight="1" s="172">
      <c r="A35" s="194" t="inlineStr">
        <is>
          <t>银行001595</t>
        </is>
      </c>
      <c r="B35" s="197" t="inlineStr">
        <is>
          <t>C7</t>
        </is>
      </c>
      <c r="C35" s="197" t="inlineStr">
        <is>
          <t>48</t>
        </is>
      </c>
      <c r="D35" s="197" t="inlineStr">
        <is>
          <t>48</t>
        </is>
      </c>
      <c r="E35" s="194" t="inlineStr">
        <is>
          <t>虚P-2pp</t>
        </is>
      </c>
      <c r="F35" s="194" t="inlineStr">
        <is>
          <t>利率折价0pp</t>
        </is>
      </c>
      <c r="G35" s="194" t="inlineStr">
        <is>
          <t>🟡中性</t>
        </is>
      </c>
      <c r="H35" s="194" t="inlineStr">
        <is>
          <t>不加</t>
        </is>
      </c>
    </row>
    <row r="36" ht="16.5" customHeight="1" s="172">
      <c r="A36" s="197" t="inlineStr">
        <is>
          <t>--- 6/6 监控小结 ---</t>
        </is>
      </c>
      <c r="B36" s="197" t="inlineStr">
        <is>
          <t>C8</t>
        </is>
      </c>
      <c r="C36" s="197" t="inlineStr">
        <is>
          <t>None</t>
        </is>
      </c>
      <c r="D36" s="197" t="inlineStr">
        <is>
          <t>-</t>
        </is>
      </c>
      <c r="E36" s="197" t="inlineStr">
        <is>
          <t>-</t>
        </is>
      </c>
      <c r="F36" s="194" t="inlineStr">
        <is>
          <t>利率折价-4pp</t>
        </is>
      </c>
      <c r="G36" s="194" t="inlineStr">
        <is>
          <t>🟡中性</t>
        </is>
      </c>
      <c r="H36" s="194" t="inlineStr">
        <is>
          <t>观望</t>
        </is>
      </c>
    </row>
    <row r="37" ht="16.5" customHeight="1" s="172">
      <c r="A37" s="200" t="inlineStr">
        <is>
          <t>养殖: +1pp → 淘汰母猪加快+融资恶化→底部确认</t>
        </is>
      </c>
    </row>
    <row r="38" ht="16.5" customHeight="1" s="172">
      <c r="A38" s="200" t="inlineStr">
        <is>
          <t>芯片: 0pp → AI长期利好vs估值过高抵消</t>
        </is>
      </c>
    </row>
    <row r="39" ht="16.5" customHeight="1" s="172">
      <c r="A39" s="200" t="inlineStr">
        <is>
          <t>恒科: 0pp → AI叙事强化非事件</t>
        </is>
      </c>
    </row>
    <row r="40" ht="16.5" customHeight="1" s="172">
      <c r="A40" s="200" t="inlineStr">
        <is>
          <t>银行: 0pp → 非农黑五已部分定价</t>
        </is>
      </c>
    </row>
    <row r="41" ht="16.5" customHeight="1" s="172">
      <c r="A41" s="200" t="inlineStr">
        <is>
          <t>结论: 持仓不动。养殖左侧继续等待。</t>
        </is>
      </c>
    </row>
    <row r="42" ht="16.5" customHeight="1" s="172">
      <c r="A42" s="171" t="inlineStr">
        <is>
          <t>--- 6/7 监控小结 ---</t>
        </is>
      </c>
    </row>
    <row r="43" ht="16.5" customHeight="1" s="172">
      <c r="A43" s="171" t="inlineStr">
        <is>
          <t>养殖: +1pp → 集团"养一天赔一天"全体重抛售→去产能加速→周期底确认</t>
        </is>
      </c>
    </row>
    <row r="44" ht="16.5" customHeight="1" s="172">
      <c r="A44" s="171" t="inlineStr">
        <is>
          <t>芯片: 0pp → AI基建长期利好(付鹏)vs摩尔定律瓶颈(宋鸿兵)抵消</t>
        </is>
      </c>
    </row>
    <row r="45" ht="16.5" customHeight="1" s="172">
      <c r="A45" s="171" t="inlineStr">
        <is>
          <t>AI: 0pp → AI基建+应用加速确认，但无新事件级催化剂</t>
        </is>
      </c>
    </row>
    <row r="46" ht="16.5" customHeight="1" s="172">
      <c r="A46" s="171" t="inlineStr">
        <is>
          <t>恒科: -1pp → 非农超预期→加息预期→黑五科技暴跌→利率敏感</t>
        </is>
      </c>
    </row>
    <row r="47" ht="16.5" customHeight="1" s="172">
      <c r="A47" s="171" t="inlineStr">
        <is>
          <t>黄金: 0pp → 长期央行购金(27%储备)vs短期非农砸盘抵消</t>
        </is>
      </c>
    </row>
    <row r="48" ht="16.5" customHeight="1" s="172">
      <c r="A48" s="171" t="inlineStr">
        <is>
          <t>银行: 0pp → 岩松笔记讨论15%年化，中性方法论</t>
        </is>
      </c>
    </row>
    <row r="49" ht="16.5" customHeight="1" s="172">
      <c r="A49" s="171" t="inlineStr">
        <is>
          <t>--- 6/8-6/9 监控小结（基于新转录33条） ---</t>
        </is>
      </c>
    </row>
    <row r="50" ht="15" customHeight="1" s="172">
      <c r="A50" s="171" t="inlineStr">
        <is>
          <t>芯片: +2pp(虚P) → 蒋宇飞"打死不下车"+宋鸿兵摩尔定律极限+费城半导体10%暴跌短期情绪</t>
        </is>
      </c>
    </row>
    <row r="51" ht="15" customHeight="1" s="172">
      <c r="A51" s="171" t="inlineStr">
        <is>
          <t>养殖: 0pp → 还在去产能，猪大量卖养一天赔一天。底部信号出现但未到右侧</t>
        </is>
      </c>
    </row>
    <row r="52" ht="77.25" customHeight="1" s="172">
      <c r="A52" s="171" t="inlineStr">
        <is>
          <t>恒科: -3pp → 非农+韩国熔断双重打击，加息最敏感品种</t>
        </is>
      </c>
    </row>
    <row r="53" ht="16.5" customHeight="1" s="172">
      <c r="A53" s="171" t="inlineStr">
        <is>
          <t>稀金: +2pp → 央行19个月增持黄金+全球央行扫货，长期支撑</t>
        </is>
      </c>
    </row>
    <row r="54" ht="26.25" customHeight="1" s="172">
      <c r="A54" s="171" t="inlineStr">
        <is>
          <t>AI: +4pp → 微软Build agent平台+拿幸AI本地化爆发+Cloud open48 agent编程突破</t>
        </is>
      </c>
    </row>
    <row r="55" ht="29.25" customHeight="1" s="172">
      <c r="A55" s="171" t="inlineStr">
        <is>
          <t>有色: -2pp → EU钢铁关税50%+宏观risk-off</t>
        </is>
      </c>
    </row>
    <row r="56" ht="29.25" customHeight="1" s="172">
      <c r="A56" s="171" t="inlineStr">
        <is>
          <t>原油: +1pp → 伊朗打以色列+霍尔木兹封锁持续，OPEC增产对冲</t>
        </is>
      </c>
    </row>
    <row r="57" ht="15" customHeight="1" s="172">
      <c r="A57" s="171" t="inlineStr">
        <is>
          <t>核心结论: 这是全球系统性risk-off，不是你的持仓出了问题。芯片逻辑最强，金银珠宝超跌反弹空间最大，养殖等右侧。</t>
        </is>
      </c>
    </row>
    <row r="58" ht="15" customHeight="1" s="172">
      <c r="A58" s="171" t="inlineStr">
        <is>
          <t>--- 6/12 晚间监控小结（新转录18条分析归档） ---</t>
        </is>
      </c>
    </row>
    <row r="59" ht="57.75" customHeight="1" s="172">
      <c r="A59" s="171" t="inlineStr">
        <is>
          <t>恒科: -2pp → 付鹏三大巨头IPO抽水1500-2000亿，边缘资产闪崩恒科最脆弱</t>
        </is>
      </c>
    </row>
    <row r="60" ht="172.5" customHeight="1" s="172">
      <c r="A60" s="171" t="inlineStr">
        <is>
          <t>养殖: +1pp → 生猪贸易：猪周期底部极漫长，全行业负债率极高纯烧钱</t>
        </is>
      </c>
    </row>
    <row r="61" ht="15" customHeight="1" s="172">
      <c r="A61" s="171" t="inlineStr">
        <is>
          <t>AI: 虚P+2pp → OpenAI递交IPO冲击万亿，AI资产化确认</t>
        </is>
      </c>
    </row>
    <row r="62" ht="15" customHeight="1" s="172">
      <c r="A62" s="171" t="inlineStr">
        <is>
          <t>AI: 实P-1pp → Claude5被攻破12万字泄露，安全性争议短期利空</t>
        </is>
      </c>
    </row>
    <row r="63" ht="48" customHeight="1" s="172">
      <c r="A63" s="171" t="inlineStr">
        <is>
          <t>芯片: -1pp → 三大IPO抽水+美股集中度40%警戒线，流动性收紧利空</t>
        </is>
      </c>
    </row>
    <row r="64" ht="48" customHeight="1" s="172">
      <c r="A64" s="171" t="inlineStr">
        <is>
          <t>稀金: 虚P+2pp → 避险逻辑走强，SpaceX+OpenAI抽水→资金寻求避险</t>
        </is>
      </c>
    </row>
    <row r="65" ht="63.75" customHeight="1" s="172">
      <c r="A65" s="171" t="inlineStr">
        <is>
          <t>宋鸿兵: 油价→国债→股市连锁反应，黑色星期五只是序幕</t>
        </is>
      </c>
    </row>
    <row r="66">
      <c r="A66" s="171" t="inlineStr">
        <is>
          <t>核心结论: 三大AI巨头同时扎堆IPO=历史上市场顶部典型特征。流动性全面抽紧。</t>
        </is>
      </c>
    </row>
    <row r="67" ht="16.5" customHeight="1" s="172"/>
    <row r="68" ht="48" customHeight="1" s="172"/>
    <row r="69" ht="32.25" customHeight="1" s="172"/>
    <row r="70" ht="48" customHeight="1" s="172"/>
    <row r="71" ht="32.25" customHeight="1" s="172"/>
    <row r="72" ht="16.5" customHeight="1" s="172"/>
    <row r="73" ht="121.5" customHeight="1" s="172"/>
    <row r="74" ht="16.5" customHeight="1" s="172"/>
    <row r="75" ht="16.5" customHeight="1" s="172"/>
    <row r="76" ht="16.5" customHeight="1" s="172"/>
    <row r="77" ht="15" customHeight="1" s="172"/>
    <row r="78"/>
    <row r="79" ht="39" customHeight="1" s="172"/>
    <row r="80" ht="39" customHeight="1" s="172"/>
    <row r="81" ht="51.75" customHeight="1" s="172"/>
    <row r="82" ht="51.75" customHeight="1" s="172"/>
    <row r="83" ht="64.5" customHeight="1" s="172"/>
    <row r="84" ht="15" customHeight="1" s="172"/>
    <row r="85" ht="15" customHeight="1" s="172"/>
    <row r="86" ht="26.25" customHeight="1" s="172"/>
    <row r="87"/>
    <row r="88" ht="39" customHeight="1" s="172"/>
    <row r="89" ht="26.25" customHeight="1" s="172"/>
    <row r="90" ht="26.25" customHeight="1" s="172"/>
    <row r="91" ht="39" customHeight="1" s="172"/>
    <row r="92" ht="26.25" customHeight="1" s="172"/>
    <row r="93" ht="26.25" customHeight="1" s="172"/>
    <row r="94" ht="39" customHeight="1" s="172"/>
    <row r="95" ht="39" customHeight="1" s="172"/>
    <row r="96" ht="15" customHeight="1" s="172"/>
    <row r="97" ht="15" customHeight="1" s="172">
      <c r="A97" s="171" t="n"/>
    </row>
    <row r="98" ht="18" customHeight="1" s="172">
      <c r="A98" s="171" t="n"/>
    </row>
    <row r="99" ht="15" customHeight="1" s="172"/>
    <row r="100" ht="15" customHeight="1" s="172"/>
    <row r="101" ht="26.25" customHeight="1" s="172"/>
    <row r="102" ht="15" customHeight="1" s="172"/>
    <row r="103" ht="26.25" customHeight="1" s="172"/>
    <row r="104" ht="26.25" customHeight="1" s="172"/>
    <row r="105" ht="26.25" customHeight="1" s="172"/>
    <row r="106" ht="26.25" customHeight="1" s="172"/>
    <row r="107" ht="15" customHeight="1" s="172"/>
    <row r="108">
      <c r="A108" s="171" t="n"/>
    </row>
    <row r="109" ht="15" customHeight="1" s="172"/>
    <row r="110" ht="26.25" customHeight="1" s="172"/>
    <row r="111" ht="26.25" customHeight="1" s="172"/>
    <row r="112" ht="26.25" customHeight="1" s="172"/>
    <row r="113" ht="26.25" customHeight="1" s="172"/>
    <row r="114" ht="26.25" customHeight="1" s="172"/>
    <row r="115" ht="26.25" customHeight="1" s="172"/>
    <row r="116" ht="15" customHeight="1" s="172"/>
    <row r="117" ht="19.5" customHeight="1" s="172">
      <c r="B117" s="171" t="n"/>
    </row>
    <row r="118" ht="15" customHeight="1" s="172">
      <c r="A118" s="171" t="n"/>
    </row>
    <row r="119" ht="15" customHeight="1" s="172">
      <c r="A119" s="171" t="n"/>
    </row>
    <row r="120" ht="26.25" customHeight="1" s="172">
      <c r="A120" s="171" t="n"/>
    </row>
    <row r="121" ht="26.25" customHeight="1" s="172">
      <c r="A121" s="171" t="n"/>
    </row>
    <row r="122" ht="15" customHeight="1" s="172">
      <c r="A122" s="171" t="n"/>
    </row>
    <row r="123" ht="15" customHeight="1" s="172">
      <c r="A123" s="171" t="n"/>
    </row>
    <row r="124" ht="26.25" customHeight="1" s="172">
      <c r="A124" s="201" t="inlineStr">
        <is>
          <t>📊 6/7 20:00小结</t>
        </is>
      </c>
    </row>
    <row r="125" ht="15" customHeight="1" s="172">
      <c r="A125" s="202" t="inlineStr">
        <is>
          <t>• 抓取50条沾边(抖音12+知乎18+B站0) 转录3/3</t>
        </is>
      </c>
    </row>
    <row r="126" ht="15" customHeight="1" s="172">
      <c r="A126" s="202" t="inlineStr">
        <is>
          <t>• 芯片虚P+1pp: 蒋宇飞GTC大会-AI基建3年不下车/端侧AI来临/物理AI需3年</t>
        </is>
      </c>
    </row>
    <row r="127" ht="15" customHeight="1" s="172">
      <c r="A127" s="202" t="inlineStr">
        <is>
          <t>• 避险+1pp: 环中星鉴11条-非农超预期/黄金大跌/SpaceX+OpenAI天价IPO</t>
        </is>
      </c>
    </row>
    <row r="128" ht="15" customHeight="1" s="172">
      <c r="A128" s="202" t="inlineStr">
        <is>
          <t>• 蒋宇飞端侧AI芯片机会=万亿市值级别(强烈看好)</t>
        </is>
      </c>
    </row>
    <row r="129" ht="26.25" customHeight="1" s="172">
      <c r="A129" s="201" t="inlineStr">
        <is>
          <t>📊 6/7 20:00小结</t>
        </is>
      </c>
    </row>
    <row r="130" ht="15" customHeight="1" s="172">
      <c r="A130" s="202" t="inlineStr">
        <is>
          <t>• 抓取50条沾边(抖音12+知乎18+B站0) 转录3/3 分析3/3</t>
        </is>
      </c>
    </row>
    <row r="131" ht="15" customHeight="1" s="172">
      <c r="A131" s="202" t="inlineStr">
        <is>
          <t>• 蒋宇飞GTC大会: AI基建3年不死/端侧AI来临/物理AI3年后 → 芯片虚P+1pp</t>
        </is>
      </c>
    </row>
    <row r="132" ht="15" customHeight="1" s="172">
      <c r="A132" s="202" t="inlineStr">
        <is>
          <t>• 环中星鉴11条: 非农超预期+黄金大跌+AI天价IPO → 避险短期承压</t>
        </is>
      </c>
    </row>
    <row r="133" ht="15" customHeight="1" s="172">
      <c r="A133" s="202" t="inlineStr">
        <is>
          <t>• 拿幸14条: OpenAI记忆架构+Anthropic自研AI → AI产业链持续加速(不重复加分)</t>
        </is>
      </c>
    </row>
    <row r="134" ht="26.25" customHeight="1" s="172">
      <c r="A134" s="202" t="inlineStr">
        <is>
          <t>• 伊娃6条+生猪贸易3条+猪猪女王2条: 养殖面稳定(不调整)</t>
        </is>
      </c>
    </row>
    <row r="135" ht="15" customHeight="1" s="172">
      <c r="A135" s="201" t="inlineStr">
        <is>
          <t>📊 6/7 20:00小结</t>
        </is>
      </c>
    </row>
    <row r="136" ht="29.25" customHeight="1" s="172">
      <c r="A136" s="202" t="inlineStr">
        <is>
          <t>• 抓取50条沾边(抖音12+知乎18+B站0) 转录3/3 分析3/3</t>
        </is>
      </c>
    </row>
    <row r="137" ht="15" customHeight="1" s="172">
      <c r="A137" s="202" t="inlineStr">
        <is>
          <t>• 蒋宇飞GTC大会: AI基建3年不死/端侧AI来临/物理AI3年后 → 芯片虚P+1pp</t>
        </is>
      </c>
    </row>
    <row r="138" ht="26.25" customHeight="1" s="172">
      <c r="A138" s="202" t="inlineStr">
        <is>
          <t>• 拿幸14条: OpenAI记忆架构+AI从AGI跨向AGI → 芯片方向但不重复加分</t>
        </is>
      </c>
    </row>
    <row r="139" ht="15" customHeight="1" s="172">
      <c r="A139" s="202" t="inlineStr">
        <is>
          <t>• 伊娃6条+生猪贸易3条+猪猪女王2条: 养殖面稳定(不调整)</t>
        </is>
      </c>
    </row>
    <row r="140" ht="26.25" customHeight="1" s="172">
      <c r="A140" s="202" t="inlineStr">
        <is>
          <t>• 环中星鉴11条: 非农超预期+黄金大跌+AI天价IPO → 避险短期承压</t>
        </is>
      </c>
    </row>
    <row r="141" ht="26.25" customHeight="1" s="172">
      <c r="A141" s="171" t="inlineStr">
        <is>
          <t>📊 6/15 10:00小结</t>
        </is>
      </c>
    </row>
    <row r="142" ht="39" customHeight="1" s="172">
      <c r="A142" s="171" t="inlineStr">
        <is>
          <t>• 抖音12博+知乎4博全部成功，36条新视频(真实数据)+26条知乎新内容</t>
        </is>
      </c>
    </row>
    <row r="143" ht="16.5" customHeight="1" s="172">
      <c r="A143" s="171" t="inlineStr">
        <is>
          <t>• 闭眼看世界地缘3条: 南海升温(制裁菲律宾)+DeepSeek美国逆袭+新西兰转向 → 黄金虚P+1pp/芯片虚P+0.5pp</t>
        </is>
      </c>
    </row>
    <row r="144" ht="17.25" customHeight="1" s="172">
      <c r="A144" s="171" t="inlineStr">
        <is>
          <t>• 芳姐喊猪价暴雷 → 产能出清加速，养殖维持(逻辑不变)</t>
        </is>
      </c>
    </row>
    <row r="145" ht="16.5" customHeight="1" s="172">
      <c r="A145" s="171" t="inlineStr">
        <is>
          <t>• 闻号说经济: 欧央行加息+居民降杠杆+韩国限制借钱炒股 → 全球去杠杆共振延续</t>
        </is>
      </c>
    </row>
    <row r="146" ht="16.5" customHeight="1" s="172">
      <c r="A146" s="171" t="inlineStr">
        <is>
          <t>• Fable5被叫停持续发酵(拿幸连发4条) → AI监管分水岭已确认，虚实P不动(方向不明)</t>
        </is>
      </c>
    </row>
    <row r="147" ht="16.5" customHeight="1" s="172">
      <c r="A147" s="171" t="inlineStr">
        <is>
          <t>• 古都闲云: 黄金较高点跌20%正式入熊+PPI 3.9%&gt;CPI 1.2%剪刀差 → 企业利润承压</t>
        </is>
      </c>
    </row>
    <row r="148" ht="16.5" customHeight="1" s="172">
      <c r="A148" s="171" t="inlineStr">
        <is>
          <t>• 核心格局: 利空密度占优但各资产逻辑独立/多空对冲 → 不做整体方向调整</t>
        </is>
      </c>
    </row>
    <row r="149" ht="16.5" customHeight="1" s="172"/>
    <row r="150" ht="16.5" customHeight="1" s="172"/>
    <row r="151" ht="16.5" customHeight="1" s="172"/>
    <row r="152" ht="16.5" customHeight="1" s="172"/>
    <row r="153" ht="16.5" customHeight="1" s="172"/>
    <row r="154" ht="26.25" customHeight="1" s="172"/>
    <row r="155" ht="15" customHeight="1" s="172"/>
    <row r="156" ht="15" customHeight="1" s="172"/>
    <row r="157" ht="15" customHeight="1" s="172"/>
    <row r="158" ht="15" customHeight="1" s="172"/>
    <row r="159" ht="15" customHeight="1" s="172"/>
    <row r="160" ht="15" customHeight="1" s="172"/>
    <row r="161" ht="15" customHeight="1" s="172"/>
    <row r="162" ht="15" customHeight="1" s="172"/>
    <row r="163" ht="48" customHeight="1" s="172"/>
    <row r="164" ht="48" customHeight="1" s="172"/>
    <row r="165" ht="63.75" customHeight="1" s="172"/>
    <row r="167" ht="16.5" customHeight="1" s="172"/>
    <row r="168" ht="48" customHeight="1" s="172"/>
    <row r="169" ht="32.25" customHeight="1" s="172"/>
    <row r="170" ht="48" customHeight="1" s="172"/>
    <row r="171" ht="32.25" customHeight="1" s="172"/>
    <row r="173" ht="121.5" customHeight="1" s="172"/>
    <row r="177" ht="15" customHeight="1" s="172"/>
    <row r="179" ht="39" customHeight="1" s="172"/>
    <row r="180" ht="39" customHeight="1" s="172"/>
    <row r="181" ht="51.75" customHeight="1" s="172"/>
    <row r="182" ht="51.75" customHeight="1" s="172"/>
    <row r="183" ht="64.5" customHeight="1" s="172"/>
    <row r="184" ht="15" customHeight="1" s="172"/>
    <row r="185" ht="15" customHeight="1" s="172"/>
    <row r="186" ht="26.25" customHeight="1" s="172"/>
    <row r="188" ht="39" customHeight="1" s="172"/>
    <row r="189" ht="26.25" customHeight="1" s="172"/>
    <row r="190" ht="26.25" customHeight="1" s="172"/>
    <row r="191" ht="39" customHeight="1" s="172"/>
    <row r="192" ht="26.25" customHeight="1" s="172"/>
    <row r="193" ht="26.25" customHeight="1" s="172"/>
    <row r="194" ht="39" customHeight="1" s="172"/>
    <row r="195" ht="39" customHeight="1" s="172"/>
    <row r="198" ht="18" customHeight="1" s="172"/>
    <row r="199" ht="15" customHeight="1" s="172"/>
    <row r="200" ht="15" customHeight="1" s="172"/>
    <row r="201" ht="26.25" customHeight="1" s="172"/>
    <row r="202" ht="15" customHeight="1" s="172"/>
    <row r="203" ht="26.25" customHeight="1" s="172"/>
    <row r="204" ht="26.25" customHeight="1" s="172"/>
    <row r="205" ht="26.25" customHeight="1" s="172"/>
    <row r="206" ht="26.25" customHeight="1" s="172"/>
    <row r="207" ht="15" customHeight="1" s="172"/>
    <row r="209" ht="15" customHeight="1" s="172"/>
    <row r="210" ht="26.25" customHeight="1" s="172"/>
    <row r="211" ht="26.25" customHeight="1" s="172"/>
    <row r="212" ht="26.25" customHeight="1" s="172"/>
    <row r="213" ht="26.25" customHeight="1" s="172"/>
    <row r="214" ht="26.25" customHeight="1" s="172"/>
    <row r="215" ht="26.25" customHeight="1" s="172"/>
    <row r="216" ht="15" customHeight="1" s="172"/>
    <row r="218" ht="15" customHeight="1" s="172"/>
    <row r="219" ht="15" customHeight="1" s="172"/>
    <row r="220" ht="26.25" customHeight="1" s="172"/>
    <row r="221" ht="26.25" customHeight="1" s="172"/>
    <row r="222" ht="15" customHeight="1" s="172"/>
    <row r="223" ht="15" customHeight="1" s="172"/>
    <row r="224" ht="26.25" customHeight="1" s="172"/>
    <row r="225" ht="15" customHeight="1" s="172"/>
    <row r="227" ht="15" customHeight="1" s="172"/>
    <row r="228" ht="15" customHeight="1" s="172"/>
    <row r="229" ht="26.25" customHeight="1" s="172"/>
    <row r="230" ht="15" customHeight="1" s="172"/>
    <row r="231" ht="15" customHeight="1" s="172"/>
    <row r="232" ht="15" customHeight="1" s="172"/>
    <row r="233" ht="15" customHeight="1" s="172"/>
    <row r="234" ht="26.25" customHeight="1" s="172"/>
    <row r="235" ht="15" customHeight="1" s="172"/>
    <row r="237" ht="15" customHeight="1" s="172"/>
    <row r="238" ht="26.25" customHeight="1" s="172"/>
    <row r="239" ht="15" customHeight="1" s="172"/>
    <row r="240" ht="26.25" customHeight="1" s="172"/>
    <row r="241" ht="26.25" customHeight="1" s="172"/>
    <row r="242" ht="39" customHeight="1" s="172"/>
    <row r="244" ht="17.25" customHeight="1" s="172"/>
    <row r="245" ht="16.5" customHeight="1" s="172"/>
    <row r="246" ht="16.5" customHeight="1" s="172"/>
    <row r="247" ht="16.5" customHeight="1" s="172"/>
    <row r="248" ht="16.5" customHeight="1" s="172"/>
    <row r="249" ht="16.5" customHeight="1" s="172"/>
    <row r="250" ht="16.5" customHeight="1" s="172"/>
    <row r="251" ht="16.5" customHeight="1" s="172"/>
    <row r="252" ht="16.5" customHeight="1" s="172"/>
    <row r="253" ht="16.5" customHeight="1" s="172"/>
    <row r="255" ht="18" customHeight="1" s="172"/>
    <row r="256" ht="48" customHeight="1" s="172"/>
    <row r="257" ht="32.25" customHeight="1" s="172"/>
    <row r="258" ht="32.25" customHeight="1" s="172"/>
    <row r="259" ht="32.25" customHeight="1" s="172"/>
    <row r="260" ht="32.25" customHeight="1" s="172"/>
    <row r="261" ht="16.5" customHeight="1" s="172"/>
    <row r="262" ht="16.5" customHeight="1" s="172"/>
    <row r="263" ht="16.5" customHeight="1" s="172"/>
    <row r="264" ht="16.5" customHeight="1" s="172"/>
    <row r="265" ht="16.5" customHeight="1" s="172"/>
    <row r="266" ht="16.5" customHeight="1" s="172"/>
    <row r="267" ht="16.5" customHeight="1" s="172"/>
    <row r="268" ht="16.5" customHeight="1" s="172"/>
    <row r="270" ht="21" customHeight="1" s="172"/>
    <row r="271" ht="16.5" customHeight="1" s="172"/>
    <row r="272" ht="16.5" customHeight="1" s="172"/>
    <row r="273" ht="16.5" customHeight="1" s="172"/>
    <row r="274" ht="16.5" customHeight="1" s="172"/>
    <row r="275" ht="16.5" customHeight="1" s="172"/>
    <row r="276" ht="16.5" customHeight="1" s="172"/>
    <row r="277" ht="16.5" customHeight="1" s="172"/>
    <row r="278" ht="16.5" customHeight="1" s="172"/>
    <row r="280" ht="16.5" customHeight="1" s="172"/>
    <row r="281" ht="16.5" customHeight="1" s="172"/>
    <row r="282" ht="16.5" customHeight="1" s="172"/>
    <row r="283" ht="16.5" customHeight="1" s="172"/>
    <row r="284" ht="16.5" customHeight="1" s="172"/>
    <row r="286" ht="16.5" customHeight="1" s="172"/>
    <row r="287" ht="16.5" customHeight="1" s="172"/>
    <row r="288" ht="16.5" customHeight="1" s="172"/>
    <row r="289" ht="16.5" customHeight="1" s="172"/>
    <row r="290" ht="16.5" customHeight="1" s="172"/>
    <row r="292" ht="16.5" customHeight="1" s="172"/>
    <row r="293" ht="16.5" customHeight="1" s="172"/>
    <row r="294" ht="16.5" customHeight="1" s="172"/>
    <row r="295" ht="16.5" customHeight="1" s="172"/>
    <row r="296" ht="16.5" customHeight="1" s="172"/>
    <row r="297" ht="16.5" customHeight="1" s="172"/>
    <row r="298" ht="16.5" customHeight="1" s="172"/>
    <row r="299" ht="16.5" customHeight="1" s="172"/>
    <row r="300" ht="16.5" customHeight="1" s="172"/>
    <row r="301" ht="16.5" customHeight="1" s="172"/>
    <row r="302" ht="16.5" customHeight="1" s="172"/>
    <row r="303" ht="16.5" customHeight="1" s="172"/>
    <row r="304" ht="16.5" customHeight="1" s="172"/>
    <row r="306" ht="16.5" customHeight="1" s="172"/>
    <row r="307" ht="15" customHeight="1" s="172"/>
    <row r="308" ht="15" customHeight="1" s="172"/>
    <row r="309" ht="15" customHeight="1" s="172"/>
    <row r="310" ht="15" customHeight="1" s="172"/>
  </sheetData>
  <mergeCells count="35">
    <mergeCell ref="A126:G126"/>
    <mergeCell ref="B19:H19"/>
    <mergeCell ref="A24:H24"/>
    <mergeCell ref="A122:G122"/>
    <mergeCell ref="A131:G131"/>
    <mergeCell ref="A107:H107"/>
    <mergeCell ref="A125:G125"/>
    <mergeCell ref="B15:H15"/>
    <mergeCell ref="A1:H1"/>
    <mergeCell ref="B20:H20"/>
    <mergeCell ref="A121:G121"/>
    <mergeCell ref="A117:G117"/>
    <mergeCell ref="A127:G127"/>
    <mergeCell ref="A130:G130"/>
    <mergeCell ref="B16:H16"/>
    <mergeCell ref="A12:H12"/>
    <mergeCell ref="A123:G123"/>
    <mergeCell ref="A119:G119"/>
    <mergeCell ref="A132:G132"/>
    <mergeCell ref="B18:H18"/>
    <mergeCell ref="A124:G124"/>
    <mergeCell ref="B21:H21"/>
    <mergeCell ref="A2:H2"/>
    <mergeCell ref="A128:G128"/>
    <mergeCell ref="A97:H97"/>
    <mergeCell ref="A22:H22"/>
    <mergeCell ref="A133:G133"/>
    <mergeCell ref="B14:H14"/>
    <mergeCell ref="A118:G118"/>
    <mergeCell ref="B17:H17"/>
    <mergeCell ref="B13:H13"/>
    <mergeCell ref="A120:G1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21" activeCellId="0" sqref="A21"/>
    </sheetView>
  </sheetViews>
  <sheetFormatPr baseColWidth="8" defaultColWidth="10.4921875" defaultRowHeight="12.75" customHeight="0" zeroHeight="0" outlineLevelRow="0"/>
  <cols>
    <col width="18" customWidth="1" style="171" min="1" max="12"/>
    <col width="35" customWidth="1" style="172" min="3" max="3"/>
    <col width="35" customWidth="1" style="172" min="4" max="4"/>
    <col width="35" customWidth="1" style="172" min="5" max="5"/>
    <col width="35" customWidth="1" style="172" min="6" max="6"/>
    <col width="35" customWidth="1" style="172" min="7" max="7"/>
    <col width="35" customWidth="1" style="172" min="8" max="8"/>
  </cols>
  <sheetData>
    <row r="1" ht="30.75" customHeight="1" s="172">
      <c r="A1" s="203" t="inlineStr">
        <is>
          <t>📈 持仓贝叶斯完整记录 (α/β拆分版 2026-06-07)</t>
        </is>
      </c>
      <c r="B1" s="171" t="inlineStr">
        <is>
          <t>批注：6-7日的事件插最下面了，没有插入最先的第三排，总看板也如次，似乎更加严重。所以，代码有严重缺陷。</t>
        </is>
      </c>
      <c r="J1" s="204" t="inlineStr">
        <is>
          <t>📊 盈亏比说明</t>
        </is>
      </c>
    </row>
    <row r="2" ht="26.25" customHeight="1" s="172">
      <c r="A2" s="203" t="inlineStr">
        <is>
          <t>芯片020628
[右侧]</t>
        </is>
      </c>
      <c r="B2" s="203" t="inlineStr">
        <is>
          <t>电池018926
[右侧]</t>
        </is>
      </c>
      <c r="C2" s="203" t="inlineStr">
        <is>
          <t>恒科012349
[等右]</t>
        </is>
      </c>
      <c r="D2" s="203" t="inlineStr">
        <is>
          <t>养殖014415
[左侧]</t>
        </is>
      </c>
      <c r="E2" s="203" t="inlineStr">
        <is>
          <t>有色004433
[周期]</t>
        </is>
      </c>
      <c r="F2" s="203" t="inlineStr">
        <is>
          <t>稀金014111
[战略]</t>
        </is>
      </c>
      <c r="G2" s="203" t="inlineStr">
        <is>
          <t>银行001595
[监控]</t>
        </is>
      </c>
      <c r="H2" s="203" t="inlineStr">
        <is>
          <t>AI027048
[蚊子]</t>
        </is>
      </c>
      <c r="I2" s="205" t="inlineStr">
        <is>
          <t>存储(赛道)
[观察]</t>
        </is>
      </c>
      <c r="J2" s="205" t="inlineStr">
        <is>
          <t>核电(赛道)
[观察]</t>
        </is>
      </c>
      <c r="K2" s="182" t="inlineStr">
        <is>
          <t>原油162411
[待重]</t>
        </is>
      </c>
    </row>
    <row r="3" ht="72.75" customHeight="1" s="172">
      <c r="A3" s="206" t="inlineStr">
        <is>
          <t>P(α):51%
β折价-3pp（↓从-11降：宏观对芯片价格影响≈0）
有效P:48%
R=P/(1-P)=0.9:1
P×R:0.44
决策:观望</t>
        </is>
      </c>
      <c r="B3" s="207" t="inlineStr">
        <is>
          <t>P(α):67%
β折价+0pp
有效P:67%
R=P/(1-P)=2.0:1
P×R:1.36
决策:持有</t>
        </is>
      </c>
      <c r="C3" s="208" t="inlineStr">
        <is>
          <t>P(α):41%
β折价-8pp
有效P:33%
R=P/(1-P)=0.5:1
P×R:0.16
决策:不干</t>
        </is>
      </c>
      <c r="D3" s="207" t="inlineStr">
        <is>
          <t>P(α):52%
β折价+4pp
有效P:56%
R=P/(1-P)=1.3:1
P×R:0.71
决策:持有</t>
        </is>
      </c>
      <c r="E3" s="206" t="inlineStr">
        <is>
          <t>P(α):39%
β折价+0pp
有效P:39%
R=P/(1-P)=0.6:1
P×R:0.25
决策:不干</t>
        </is>
      </c>
      <c r="F3" s="206" t="inlineStr">
        <is>
          <t>P(α):42%
β折价-1pp
有效P:41%
R=P/(1-P)=0.7:1
P×R:0.28
决策:观望</t>
        </is>
      </c>
      <c r="G3" s="206" t="inlineStr">
        <is>
          <t>P(α):50%
β折价-6pp
有效P:44%
R=P/(1-P)=0.8:1
P×R:0.35
决策:观望</t>
        </is>
      </c>
      <c r="H3" s="206" t="inlineStr">
        <is>
          <t>成本¥101
净值1.1274
P:None%
利率折价-4pp
有效P:-%
无数据
下行:30% 确定性:20% 溢价:40%
盈亏比:0.7:1
决策:不干</t>
        </is>
      </c>
      <c r="I3" s="209" t="inlineStr">
        <is>
          <t>P(α):55%
β折价-4pp
有效P:51%
R=P/(1-P)=1.0:1
P×R:0.53
决策:观望</t>
        </is>
      </c>
      <c r="J3" s="209" t="inlineStr">
        <is>
          <t>P(α):52%
β折价-2pp
有效P:50%
R=P/(1-P)=1.0:1
P×R:0.50
决策:观望</t>
        </is>
      </c>
      <c r="K3" s="209" t="inlineStr">
        <is>
          <t>P(α):58%
β折价+2pp
有效P:60%
R=P/(1-P)=1.5:1
P×R:0.90
决策:持有</t>
        </is>
      </c>
    </row>
    <row r="4" ht="12.75" customHeight="1" s="172">
      <c r="A4" s="210" t="inlineStr">
        <is>
          <t>日期/P/事件</t>
        </is>
      </c>
      <c r="B4" s="210" t="inlineStr">
        <is>
          <t>日期/P/事件</t>
        </is>
      </c>
      <c r="C4" s="210" t="inlineStr">
        <is>
          <t>日期/P/事件</t>
        </is>
      </c>
      <c r="D4" s="210" t="inlineStr">
        <is>
          <t>日期/P/事件</t>
        </is>
      </c>
      <c r="E4" s="210" t="inlineStr">
        <is>
          <t>日期/P/事件</t>
        </is>
      </c>
      <c r="F4" s="210" t="inlineStr">
        <is>
          <t>日期/P/事件</t>
        </is>
      </c>
      <c r="G4" s="210" t="inlineStr">
        <is>
          <t>日期/P/事件</t>
        </is>
      </c>
      <c r="H4" s="210" t="inlineStr">
        <is>
          <t>日期/P/事件</t>
        </is>
      </c>
      <c r="J4" s="21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1" t="inlineStr">
        <is>
          <t>日期/P/事件</t>
        </is>
      </c>
    </row>
    <row r="5" ht="45" customHeight="1" s="172">
      <c r="C5" s="181" t="inlineStr">
        <is>
          <t>2026-06-15 | 虚P-3pp | 【来源:小遥说商业】欧日宽松+美国加息回马枪+索罗斯做空亚太=恒科承压←events/2026-06-15-小遥说商业-欧日抢跑美国加息回马枪</t>
        </is>
      </c>
      <c r="E5" s="181" t="inlineStr">
        <is>
          <t>2026-06-15 | 虚P+2pp | 【来源:小遥说商业】欧日宽松→全球流动性宽裕→大宗商品受益←events/2026-06-15-小遥说商业-欧日抢跑美国加息回马枪</t>
        </is>
      </c>
      <c r="F5" s="181" t="inlineStr">
        <is>
          <t>2026-06-15 | 虚P+2pp | 【来源:小遥说商业】欧日宽松支撑商品价格←events/2026-06-15-小遥说商业-欧日抢跑美国加息回马枪</t>
        </is>
      </c>
    </row>
    <row r="6" ht="45" customHeight="1" s="172">
      <c r="A6" s="212" t="inlineStr">
        <is>
          <t>2026-06-13(06-14收录) | 闻号说经济：5月金融M2增8.6%居民降杠杆延续→消费信心不足，芯片终端需求偏弱【源:events/2026-06-14-闻号说经济-5月金融居民降杠杆M2】</t>
        </is>
      </c>
      <c r="B6" s="212" t="n"/>
      <c r="C6" s="212" t="inlineStr">
        <is>
          <t>2026-06-13(06-14收录) | 闻号说经济：美伊和平协议披露(地缘降温)+SpaceX上市带美股→Risk-on情绪利好恒科【源:events/2026-06-14-闻号说经济-美伊和平协议大宗波动】</t>
        </is>
      </c>
      <c r="D6" s="212" t="inlineStr">
        <is>
          <t>2026-06-13(06-14收录) | 闻号说经济：5月居民降杠杆+韩国限制借钱炒股→消费疲软压制猪肉需求【源:events/2026-06-14-闻号说经济-5月金融居民降杠杆M2】
2026-06-12(06-14收录) | 闻号说经济：韩国限制借钱炒股300亿美元→去杠杆周期确认【源:events/2026-06-14-闻号说经济-韩国限制借钱炒股】</t>
        </is>
      </c>
      <c r="E6" s="212" t="inlineStr">
        <is>
          <t>2026-06-13(06-14收录) | 闻号说经济：美伊和平协议→地缘风险缓解→有色承压【源:events/2026-06-14-闻号说经济-美伊和平协议大宗波动】
2026-06-12(06-14收录) | 闻号说经济：欧央行加息25Bp→全球紧缩→有色需求预期下降【源:events/2026-06-14-闻号说经济-欧央行加息25bp】</t>
        </is>
      </c>
      <c r="F6" s="212" t="inlineStr">
        <is>
          <t>2026-06-13(06-14收录) | 闻号说经济：美伊和平协议→避险需求下降→稀金短期承压【源:events/2026-06-14-闻号说经济-美伊和平协议大宗波动】
2026-06-12(06-14收录) | 闻号说经济：欧央行加息25Bp→实际利率上升→稀金偏空【源:events/2026-06-14-闻号说经济-欧央行加息25bp】</t>
        </is>
      </c>
      <c r="G6" s="212" t="inlineStr">
        <is>
          <t>2026-06-13(06-14收录) | 闻号说经济：5月居民降杠杆+韩国限制借钱炒股→银行零售信贷承压【源:events/2026-06-14-闻号说经济-5月金融居民降杠杆M2】【源:events/2026-06-14-闻号说经济-韩国限制借钱炒股】</t>
        </is>
      </c>
      <c r="H6" s="212" t="inlineStr">
        <is>
          <t>2026-05-21(06-14收录) | 明珠是只猪：本轮科技牛市散户不感兴趣→机构主导，筹码结构好但缺增量资金【源:events/2026-06-14-明珠是只猪-科技牛市散户为何不感兴趣】
2026-06-13(06-14收录) | 闻号说经济：美伊和平协议+SpaceX上市→科技股情绪偏多，恒科/AI同步受益【源:events/2026-06-14-闻号说经济-美伊和平协议大宗波动】</t>
        </is>
      </c>
      <c r="I6" s="212" t="n"/>
      <c r="J6" s="212" t="n"/>
      <c r="K6" s="212" t="n"/>
    </row>
    <row r="7" ht="45" customHeight="1" s="172">
      <c r="A7" s="212" t="n"/>
      <c r="B7" s="212" t="n"/>
      <c r="C7" s="212" t="n"/>
      <c r="D7" s="212" t="n"/>
      <c r="E7" s="212" t="n"/>
      <c r="F7" s="212" t="n"/>
      <c r="G7" s="212" t="n"/>
      <c r="H7" s="212" t="inlineStr">
        <is>
          <t>2026-06-14 | 虚P-1pp | 【来源:拿幸6/14抖音(18:23转录)】【信源:A级】Fable5系统提示词泄露："下架≠能力消失"，AI人格可被完整复制，安全悖论再升级
2026-06-14 | 虚P-1pp | 【来源:拿幸6/14抖音(18:23转录)】【信源:A级】Fable5被美国政府叫停：AI监管正式进入强约束时代，"今天付费明天模型没"成为新风险</t>
        </is>
      </c>
      <c r="I7" s="212" t="n"/>
      <c r="J7" s="212" t="n"/>
      <c r="K7" s="212" t="n"/>
    </row>
    <row r="8" ht="45" customHeight="1" s="172">
      <c r="A8" s="212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8" s="212" t="n"/>
      <c r="C8" s="212" t="inlineStr">
        <is>
          <t>2026-06-14 | -4pp | 【来源:付鹏6/14+闭眼看世界6/12】【信源:A级】三大IPO抽血1500-2000亿美元+美股集中度40%历史高位=边缘资产最脆弱</t>
        </is>
      </c>
      <c r="D8" s="212" t="inlineStr">
        <is>
          <t>2026-06-14 | -1pp | 【来源:生猪贸易】【信源:C级】猪周期底部极漫长，全行业高负债率，现金流是生死线</t>
        </is>
      </c>
      <c r="E8" s="212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8" s="212" t="inlineStr">
        <is>
          <t>2026-06-14 | +8pp | 【来源:资本像素】【信源:B级】跟上色同步，钨超级周期启动+黄金长期看多短期承压</t>
        </is>
      </c>
      <c r="G8" s="212" t="inlineStr">
        <is>
          <t>2026-06-14 | -5pp | 【来源:付鹏6/14+宋鸿兵】【信源:A级】IPO抽血+高利率环境+付鹏流动性离心机效应</t>
        </is>
      </c>
      <c r="H8" s="212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  <c r="I8" s="212" t="n"/>
      <c r="J8" s="212" t="n"/>
      <c r="K8" s="212" t="n"/>
    </row>
    <row r="9" ht="45" customHeight="1" s="172">
      <c r="A9" s="212" t="inlineStr">
        <is>
          <t>2026-06-12 | 闭眼看世界：美股集中度40%=1929/2000警戒线，三大AI巨头扎堆IPO抽水 | 【来源:闭眼看世界6/12抖音】【信源:B级】 | 实P-1pp</t>
        </is>
      </c>
      <c r="B9" s="212" t="n"/>
      <c r="C9" s="212" t="inlineStr">
        <is>
          <t>2026-06-12 | 付鹏：三大巨头IPO抽水1500-2000亿，市场离心机效应边缘资产闪崩 | 【来源:付鹏6/12抖音】【信源:A级】 | -2pp</t>
        </is>
      </c>
      <c r="D9" s="212" t="inlineStr">
        <is>
          <t>2026-06-12 | 生猪贸易：猪周期底部极其漫长，纯烧钱烧到一分钱没有才算完，全行业负债率极高 | 【来源:生猪贸易6/12抖音】【信源:B级】 | +1pp</t>
        </is>
      </c>
      <c r="E9" s="212" t="n"/>
      <c r="F9" s="212" t="inlineStr">
        <is>
          <t>2026-06-12 | 闭眼看世界：SpaceX 1.77万亿IPO+OpenAI/Anthropic扎堆，资金抽干→避险逻辑走强 | 【来源:闭眼看世界6/12抖音】【信源:B级】 | 虚P+1pp</t>
        </is>
      </c>
      <c r="G9" s="212" t="n"/>
      <c r="H9" s="212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  <c r="I9" s="212" t="n"/>
      <c r="J9" s="212" t="n"/>
      <c r="K9" s="212" t="n"/>
    </row>
    <row r="10" ht="45" customHeight="1" s="172">
      <c r="A10" s="213" t="inlineStr">
        <is>
          <t>2026-06-12 | 蒋宇飞：清华系撑起芯片半导体，硬科技企业家有家国情怀，国产替代的'人'的维度确认 | 【来源:蒋宇飞6/12抖音】【信源:A级】 | +1pp</t>
        </is>
      </c>
      <c r="B10" s="214" t="n"/>
      <c r="C10" s="185" t="inlineStr">
        <is>
          <t>2026-06-12 | 付鹏：三大巨头IPO抽水1500-2000亿，市场离心机效应，恒科作为边缘资产最脆弱 | 【来源:付鹏6/12抖音】【信源:A级】 | -2pp</t>
        </is>
      </c>
      <c r="D10" s="213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10" s="212" t="n"/>
      <c r="F10" s="212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10" s="212" t="n"/>
      <c r="H10" s="212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10" s="213" t="n"/>
      <c r="J10" s="213" t="n"/>
      <c r="K10" s="213" t="n"/>
      <c r="L10" s="186" t="n"/>
    </row>
    <row r="11" ht="45" customHeight="1" s="172">
      <c r="A11" s="215" t="inlineStr">
        <is>
          <t>黄奇帆：AI芯片和半导体是未来15年投资重点，A股238家相关企业。科技龙头将取代金融巨头成市值前三 | 【来源:用户直接提供】 | 虚P+2pp | 2026-06-08</t>
        </is>
      </c>
      <c r="B11" s="212" t="inlineStr">
        <is>
          <t>闻号：厄尔尼诺80%概率+AI用电爆发→电力/能源确定性受益，电池产业链间接利好 | +1pp | 2026-06-05</t>
        </is>
      </c>
      <c r="C11" s="182" t="inlineStr">
        <is>
          <t>韩国熔断日经跌5%，亚洲恐慌传导至港股 | 【来源:闻号6/8知乎【信源:C级】 | -1pp | 2026-06-08</t>
        </is>
      </c>
      <c r="D11" s="215" t="inlineStr">
        <is>
          <t>生猪贸易：淘汰母猪价格=唯一骗不了人的指标 | 【来源:转录:生猪贸易_7647885902051625209】 | +1pp | 2026-06-06</t>
        </is>
      </c>
      <c r="E11" s="212" t="inlineStr">
        <is>
          <t>EU对中国钢铁加征50%关税，贸易战升级利空工业金属 | 【来源:闭眼看世界6/8抖音【信源:B级】 | -1pp | 2026-06-08</t>
        </is>
      </c>
      <c r="F11" s="212" t="inlineStr">
        <is>
          <t>央行连续19个月增持黄金，外储站稳3.4万亿。央行结构性增持黄金趋势确认 | 【来源:环中星鉴6/8知乎】【信源:B级】 | 实P+1pp | 2026-06-08</t>
        </is>
      </c>
      <c r="G11" s="212" t="inlineStr">
        <is>
          <t>闻号：央行逆回购归零+DR007上穿政策利率→最宽松阶段过去，不利净息差 | -1pp | 2026-06-05</t>
        </is>
      </c>
      <c r="H11" s="212" t="inlineStr">
        <is>
          <t>李大霄×齐世超：英伟达主导海外AI算力，国内智源/美团/创世纪AI自主研发现代化大模型 | 【来源:转录:李大霄_7647856573485731098】 | 虚P+1pp | 2026-06-08</t>
        </is>
      </c>
      <c r="I11" s="215" t="n"/>
      <c r="J11" s="215" t="n"/>
      <c r="K11" s="215" t="inlineStr">
        <is>
          <t>OPEC宣布7/1起日均增产18.8万桶，压制油价 | 【来源:闻号6/8知乎【信源:C级】 | -1pp | 2026-06-08</t>
        </is>
      </c>
    </row>
    <row r="12" ht="45" customHeight="1" s="172">
      <c r="A12" s="212" t="inlineStr">
        <is>
          <t>李大霄×齐世超：谐波减速器国产替代率60%，丝杠/传感器/电机供应链密集配合特斯拉 | 【来源:转录:李大霄_7647856573485731098】 | 虚P+1pp | 2026-06-08</t>
        </is>
      </c>
      <c r="B12" s="216" t="inlineStr">
        <is>
          <t>宋鸿兵+雪佛龙：油价危机OECD 6月触红线，全球有效原油库存仅8.1亿桶 | 【来源:宋鸿兵6/3】 | 虚P+4pp | 2026-06-03</t>
        </is>
      </c>
      <c r="C12" s="217" t="inlineStr">
        <is>
          <t>非农超预期→纳指跌1100点→加息预期压制恒科 | 【来源:古都闲云6/6知乎【信源:C级】 | -2pp | 2026-06-06</t>
        </is>
      </c>
      <c r="D12" s="212" t="inlineStr">
        <is>
          <t>生猪贸易：大体重猪仍在大量卖，养一天赔一天 | 【来源:转录:生猪贸易_7648309392954386299】 | +1pp | 2026-06-06</t>
        </is>
      </c>
      <c r="E12" s="212" t="inlineStr">
        <is>
          <t>闻号：301关税60国→工业金属需求预期下降，转口贸易路变窄 | -1pp | 2026-06-05</t>
        </is>
      </c>
      <c r="F12" s="212" t="inlineStr">
        <is>
          <t>3.SpaceX+OpenAI天价IPO水分 | -1pp | 2026-06-07</t>
        </is>
      </c>
      <c r="G12" s="212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12" s="212" t="inlineStr">
        <is>
          <t>李大霄×齐世超：宇树科技IPO+特斯拉OPTIMUS量产=产业拐点 | 【来源:转录:李大霄_7647856573485731098】 | 虚P+1pp | 2026-06-08</t>
        </is>
      </c>
      <c r="I12" s="215" t="n"/>
      <c r="J12" s="215" t="n"/>
      <c r="K12" s="215" t="inlineStr">
        <is>
          <t>停火以来伊朗首次袭击以色列，地缘风险重燃 | 【来源:RFI/闻号6/7【信源:B级】 | +2pp | 2026-06-07</t>
        </is>
      </c>
    </row>
    <row r="13" ht="75" customHeight="1" s="172">
      <c r="A13" s="218" t="inlineStr">
        <is>
          <t>李大霄×齐世超：特斯拉自研AI推理芯片已流片，专为端侧AI智驾和OPTIMUS边缘计算 | 【来源:转录:李大霄_7647856573485731098】 | 虚P+1pp | 2026-06-08</t>
        </is>
      </c>
      <c r="B13" s="219" t="inlineStr">
        <is>
          <t>维力能储能全球第二+锂电全链布局，储能赛道确定受益于AI用电爆发 | 【来源:闻号6/2】 | +2pp | 2026-06-02</t>
        </is>
      </c>
      <c r="C13" s="220" t="inlineStr">
        <is>
          <t>闻号：孙正义高杠杆AI泡沫风险+美股流动性饥渴+301关税60国→压制恒科 | -1pp | 2026-06-05</t>
        </is>
      </c>
      <c r="D13" s="219" t="inlineStr">
        <is>
          <t>伊娃：火腿大叔黑猪33年品牌+三产融合 | 【来源:转录:伊娃_7648158651937345698】 | +1pp | 2026-06-06</t>
        </is>
      </c>
      <c r="E13" s="212" t="inlineStr">
        <is>
          <t>闻号：301关税60国→稀土反制牌短期有效但长期不确定 | -1pp | 2026-06-05</t>
        </is>
      </c>
      <c r="F13" s="212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3" s="212" t="inlineStr">
        <is>
          <t>凯文·沃什就任美联储主席（↓从降级：宏观β被产业α碾过） | -2pp | 2026-05-22</t>
        </is>
      </c>
      <c r="H13" s="212" t="inlineStr">
        <is>
          <t>李大霄×齐世超：5-6月机器人板块配置窗口期，机器人ETF规模突破570亿 | 【来源:转录:李大霄_7647856573485731098】 | 虚P+1pp | 2026-06-08</t>
        </is>
      </c>
      <c r="I13" s="215" t="n"/>
      <c r="J13" s="215" t="n"/>
      <c r="K13" s="215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4" ht="13.5" customHeight="1" s="172">
      <c r="A14" s="212" t="inlineStr">
        <is>
          <t>坚决拥抱AI狂潮，普通人财富差距拉开 | 【来源:蒋宇飞6/8抖音【信源:A级】 | 虚P+1pp | 2026-06-08</t>
        </is>
      </c>
      <c r="B14" s="212" t="inlineStr">
        <is>
          <t>霍尔木兹通航修正 | +4pp | 2026-05-24</t>
        </is>
      </c>
      <c r="C14" s="217" t="inlineStr">
        <is>
          <t>美伊久拖不决→美债收益率上行→压制港股。美伊经济战替代军事战 | 【来源:宋鸿兵6/3】 | 虚P-1pp | 2026-06-03</t>
        </is>
      </c>
      <c r="D14" s="217" t="inlineStr">
        <is>
          <t>生猪贸易：淘汰母猪价格加快=底部信号 | +1pp | 2026-06-06</t>
        </is>
      </c>
      <c r="E14" s="212" t="inlineStr">
        <is>
          <t>知乎6/3联动：301关税+欧盟钢铁关税→工业金属需求预期下降，转口贸易路变窄 | -5pp | 2026-06-03</t>
        </is>
      </c>
      <c r="F14" s="212" t="inlineStr">
        <is>
          <t>闻号说经济：日股跳水韩股熔断SK海力士跌8%，银行股相对避险 | 虚P+1pp | 2026-06-06</t>
        </is>
      </c>
      <c r="G14" s="212" t="inlineStr">
        <is>
          <t>无知半人：住户贷款狂减4902亿 | -2pp | 2026-05-22</t>
        </is>
      </c>
      <c r="H14" s="212" t="inlineStr">
        <is>
          <t>AI意识争议+边缘AI本地化爆发，Gemma4可跑16G笔记本 | 【来源:拿幸6/8抖音【信源:C级】 | 虚P+1pp | 2026-06-08</t>
        </is>
      </c>
      <c r="I14" s="215" t="n"/>
      <c r="J14" s="215" t="n"/>
      <c r="K14" s="215" t="inlineStr">
        <is>
          <t>摩根大通：海峡重开需等'痛到极点' | +2pp | 2026-06-01</t>
        </is>
      </c>
    </row>
    <row r="15" ht="13.5" customHeight="1" s="172">
      <c r="A15" s="220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5" s="219" t="inlineStr">
        <is>
          <t>中科院固态锂电池突破（逻辑簇强化） | +0pp | 2026-05-21</t>
        </is>
      </c>
      <c r="C15" s="221" t="inlineStr">
        <is>
          <t>付鹏：恒科套利闭环不可持续，港股结构性偏弱+风险偏好极值+古都闲云社消疲弱多重压制 | 【来源:付鹏6/2抖音】【信源:B级】 | 实P-3pp | 2026-06-02</t>
        </is>
      </c>
      <c r="D15" s="219" t="inlineStr">
        <is>
          <t>生猪贸易：大集团负债高，3个月不涨母猪血流成河=抄底 | 【来源:转录:生猪贸易_7647447103488358585】 | +1pp | 2026-06-05</t>
        </is>
      </c>
      <c r="E15" s="212" t="inlineStr">
        <is>
          <t>知乎6/3联动：贸易利空，稀土反制牌短期有效但长期不确定 | -3pp | 2026-06-03</t>
        </is>
      </c>
      <c r="F15" s="212" t="inlineStr">
        <is>
          <t>付鹏：世界秩序重构=分配问题，AI=有希望vs黄金=没未来 | 【来源:转录:付鹏_7647471378513317170】 | 虚P+1pp | 2026-06-04</t>
        </is>
      </c>
      <c r="G15" s="212" t="inlineStr">
        <is>
          <t>无知半人：住户贷款狂减4902亿 | -3pp | 2026-05-22</t>
        </is>
      </c>
      <c r="H15" s="212" t="inlineStr">
        <is>
          <t>拿幸：谷歌Gemma4 12B模型可在16G笔记本离线跑 | 【来源:转录:拿幸_7647783256083008831】 | 虚P+1pp | 2026-06-07</t>
        </is>
      </c>
      <c r="I15" s="215" t="n"/>
      <c r="J15" s="215" t="n"/>
      <c r="K15" s="215" t="inlineStr">
        <is>
          <t>宋鸿兵：OECD库存6月触红线，$111最坏情景 | +5pp | 2026-05-29</t>
        </is>
      </c>
    </row>
    <row r="16" ht="13.5" customHeight="1" s="172">
      <c r="A16" s="217" t="inlineStr">
        <is>
          <t>蒋宇飞GTC大会深度拆解：AI产业链财富主线，国产芯片/堆叠/存储迎来历史机遇 | 【来源:蒋宇飞6/7抖音】 | 虚P+1pp | 2026-06-07</t>
        </is>
      </c>
      <c r="B16" s="212" t="inlineStr">
        <is>
          <t>光储旺季+美债压制 | +1pp | 2026-05-20</t>
        </is>
      </c>
      <c r="C16" s="222" t="inlineStr">
        <is>
          <t>【已作废】美军轰炸伊朗→霍尔木兹P'作废 | 【已作废】 | -2pp | 2026-05-27 | 【已作废</t>
        </is>
      </c>
      <c r="D16" s="219" t="inlineStr">
        <is>
          <t>生猪贸易：低价抄底母猪，行业融资枯竭，银行拒贷养猪，母猪未血流成河→底部临近但未到 | +1pp | 2026-06-05</t>
        </is>
      </c>
      <c r="E16" s="212" t="inlineStr">
        <is>
          <t>AI铜需求爆发+资金回流，工业金属长期需求逻辑不变，短期宏观压制 | 【来源:知乎6/3】【信源:C级】 | 实P+4pp | 2026-05-22</t>
        </is>
      </c>
      <c r="F16" s="212" t="inlineStr">
        <is>
          <t>全球央行重新扫货黄金，金价波动加剧 | 【来源:古都闲云6/4知乎【信源:C级】 | +1pp | 2026-06-04</t>
        </is>
      </c>
      <c r="G16" s="212" t="inlineStr">
        <is>
          <t>多空交织：低开高走验证磨底 + 美债5.18%压制 | -3pp | 2026-05-20</t>
        </is>
      </c>
      <c r="H16" s="212" t="inlineStr">
        <is>
          <t>拿幸：OpenAI记忆V3上线+Anthropic跨租户泄露 | 【来源:转录:拿幸_7648127132840873270】 | 虚P+1pp | 2026-06-07</t>
        </is>
      </c>
      <c r="I16" s="215" t="n"/>
      <c r="J16" s="215" t="n"/>
      <c r="K16" s="215" t="inlineStr">
        <is>
          <t>日本面粉涨24%，油价传导消费品确认 | +3pp | 2026-05-29</t>
        </is>
      </c>
    </row>
    <row r="17" ht="13.5" customHeight="1" s="172">
      <c r="A17" s="220" t="inlineStr">
        <is>
          <t>蒋宇飞GTC①：算力即利润，XAI万卡集群200亿美金2年回本 | 【来源:转录:蒋宇飞_7648585045740948777】 | 虚P+2pp | 2026-06-07</t>
        </is>
      </c>
      <c r="B17" s="219" t="inlineStr">
        <is>
          <t>碳酸锂跌价+巴克莱看多 | +5pp | 2026-05-19</t>
        </is>
      </c>
      <c r="C17" s="221" t="inlineStr">
        <is>
          <t>恒生三巨头财报验证：非价值陷阱确认 | -4pp | 2026-05-26</t>
        </is>
      </c>
      <c r="D17" s="219" t="inlineStr">
        <is>
          <t>猪猪女王：高温期猪养维C抗应激，猪周期底部特征 | 【来源:转录:猪猪女王_7647375198140962299】 | 虚P+1pp | 2026-06-04</t>
        </is>
      </c>
      <c r="E17" s="212" t="inlineStr">
        <is>
          <t>有色金属持续走弱+美债压制 | -3pp | 2026-05-20</t>
        </is>
      </c>
      <c r="F17" s="212" t="inlineStr">
        <is>
          <t>欧洲央行：黄金替代美债成第一大储备，央行结构性增持黄金趋势确认 | 【来源:环中星鉴6/3知乎】 | 虚P+0pp | 2026-06-03</t>
        </is>
      </c>
      <c r="G17" s="212" t="inlineStr">
        <is>
          <t>古都闲云：社消数据疲弱 | -2pp | 2026-05-19</t>
        </is>
      </c>
      <c r="H17" s="212" t="inlineStr">
        <is>
          <t>拿幸：AI终结衰退(16年无衰退)，经济永远涨但普通人永远穷 | 【来源:转录:拿幸_7648556268130487595】 | 虚P+1pp | 2026-06-07</t>
        </is>
      </c>
      <c r="I17" s="215" t="n"/>
      <c r="J17" s="215" t="n"/>
      <c r="K17" s="215" t="inlineStr">
        <is>
          <t>美军空袭哈尔克岛+以色列同步打击 | +4pp | 2026-04-07</t>
        </is>
      </c>
    </row>
    <row r="18" ht="13.5" customHeight="1" s="172">
      <c r="A18" s="223" t="inlineStr">
        <is>
          <t>蒋宇飞GTC③：黄仁勋台北GTC=AI产业链财富主线 | 【来源:转录:蒋宇飞_7648585045740948777】 | 虚P+1pp | 2026-06-07</t>
        </is>
      </c>
      <c r="B18" s="224" t="inlineStr">
        <is>
          <t>电池ETF涨2.73%+多重利好 | +3pp | 2026-05-14</t>
        </is>
      </c>
      <c r="C18" s="221" t="inlineStr">
        <is>
          <t>韩国闪崩（情绪叠加） | -2pp | 2026-05-19</t>
        </is>
      </c>
      <c r="D18" s="219" t="inlineStr">
        <is>
          <t>伊娃：牧原秦英林辞任董事长，90后二代接班 | 【来源:转录:伊娃_7647569172259985000】 | +1pp | 2026-06-04</t>
        </is>
      </c>
      <c r="E18" s="212" t="inlineStr">
        <is>
          <t>岩松笔记 + 付鹏对冲：逻辑分类修正 | -2pp | 2026-05-19</t>
        </is>
      </c>
      <c r="F18" s="212" t="inlineStr">
        <is>
          <t>闭眼看世界：俄乌升级→地缘风险溢价 | +1pp | 2026-05-29</t>
        </is>
      </c>
      <c r="G18" s="212" t="inlineStr">
        <is>
          <t>30年美债破5%+10年破4.5%双红线，特朗普被内塔尼亚胡逼迫准备第二轮战争，油价会涨得更高 | 【来源:宋鸿兵6/2】 | 虚P-1pp</t>
        </is>
      </c>
      <c r="H18" s="212" t="inlineStr">
        <is>
          <t>SpaceX/OpenAI/Anthropic扎堆天价IPO，美股泡沫担忧 | 【来源:闻号+环中星鉴6/7知乎【信源:C级】 | -1pp | 2026-06-07</t>
        </is>
      </c>
      <c r="I18" s="215" t="n"/>
      <c r="J18" s="215" t="n"/>
      <c r="K18" s="215" t="n"/>
    </row>
    <row r="19" ht="13.5" customHeight="1" s="172">
      <c r="A19" s="225" t="inlineStr">
        <is>
          <t>蒋宇飞GTC②：AI基建2026年才第一年 | 【来源:转录:蒋宇飞_7648585045740948777】 | 虚P+1pp | 2026-06-07</t>
        </is>
      </c>
      <c r="B19" s="225" t="inlineStr">
        <is>
          <t>特朗普访华+恩捷40亿扩产 | +5pp | 2026-05-13</t>
        </is>
      </c>
      <c r="C19" s="225" t="inlineStr">
        <is>
          <t>付鹏×2：港股结构性偏弱 + 风险偏好极值 + 古都闲云社消疲弱 | -2pp | 2026-05-19</t>
        </is>
      </c>
      <c r="D19" s="219" t="inlineStr">
        <is>
          <t>【事实】伊娃：仔猪价格硬挺420元→供给收缩有序 | +1pp | 2026-06-03</t>
        </is>
      </c>
      <c r="E19" s="212" t="inlineStr">
        <is>
          <t>有色金属板块持续资金净流出 | -8pp | 2026-05-15</t>
        </is>
      </c>
      <c r="F19" s="212" t="inlineStr">
        <is>
          <t>岩松笔记：资源非长期抗通胀→HALO联动风险 | -5pp | 2026-05-19</t>
        </is>
      </c>
      <c r="G19" s="212" t="inlineStr">
        <is>
          <t>沃什就任美联储第17届主席开启握持时代，特朗普施压降息vs沃什独立性博弈 | 【来源:宋鸿兵6/2】 | 虚P-2pp</t>
        </is>
      </c>
      <c r="H19" s="212" t="inlineStr">
        <is>
          <t>拿幸：NeRF图灵青年奖→未来十年AI走向 | 【来源:转录:拿幸_7648203503172635967】 | 虚P+1pp | 2026-06-06</t>
        </is>
      </c>
      <c r="K19" s="171" t="inlineStr">
        <is>
          <t>【基准50%→58%】封锁3月+库存8.1亿桶+最坏$111</t>
        </is>
      </c>
    </row>
    <row r="20" ht="13.5" customHeight="1" s="172">
      <c r="A20" s="215" t="inlineStr">
        <is>
          <t>AI基建26年才第一年，打死不下车 | 【来源:蒋宇飞6/7抖音【信源:A级】 | 虚P+2pp | 2026-06-07</t>
        </is>
      </c>
      <c r="B20" s="226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20" s="171" t="inlineStr">
        <is>
          <t>机构研报确认景气上行 | +1pp | 2026-05-15</t>
        </is>
      </c>
      <c r="D20" s="219" t="inlineStr">
        <is>
          <t>美国猪周期启示+17/18亏损+行业关注+厄尔尼诺 | 虚P+4pp | 2026-06-02</t>
        </is>
      </c>
      <c r="E20" s="212" t="inlineStr">
        <is>
          <t>蒋宇飞看好有色金属稀土：AI驱动新能源革命大幅拉升电池材料需求 | 【来源:蒋宇飞手动提供】 | 虚P+1pp</t>
        </is>
      </c>
      <c r="F20" s="212" t="inlineStr">
        <is>
          <t>EU拟对中国电动汽车加征最高35.3%反补贴税，贸易战扩散 | 实P | 【来源:闭眼看世界6月初】 | -1pp</t>
        </is>
      </c>
      <c r="G20" s="212" t="inlineStr">
        <is>
          <t>去杠杆周期：所有人都去杠杆的时候就没有人好，加杠杆时代所有事都是好的 | 【来源:宋鸿兵6/2】 | 虚P-1pp</t>
        </is>
      </c>
      <c r="H20" s="212" t="inlineStr">
        <is>
          <t>孙正义：AI规模=互联网10-50倍，下一个万亿风口是机器人 | 虚P+5pp | 2026-06-06</t>
        </is>
      </c>
    </row>
    <row r="21" ht="13.5" customHeight="1" s="172">
      <c r="A21" s="182" t="inlineStr">
        <is>
          <t>闻号：AI芯片出口管制升级(利好国产替代) vs 韩股vsA股结构差异拥挤度警告(利空)→抵消 | +0pp | 2026-06-05</t>
        </is>
      </c>
      <c r="B21" s="17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21" s="171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21" s="219" t="inlineStr">
        <is>
          <t>伊娃读财报18期：17/18猪企亏损，加速去产能确认 | +5pp | 2026-05-26</t>
        </is>
      </c>
      <c r="E21" s="212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21" s="212" t="inlineStr">
        <is>
          <t>欧盟钢铁进口关税翻倍至50%，对准中国焊接钢网反倾销 | 实P | 【来源:闭眼看世界6月初】 | -1pp</t>
        </is>
      </c>
      <c r="G21" s="212" t="n"/>
      <c r="H21" s="212" t="inlineStr">
        <is>
          <t>拿幸：Anthropic预警AI自研AI(80%代码Claude写) | 【来源:转录:拿幸_7647906523846364479】 | 虚P+1pp | 2026-06-05</t>
        </is>
      </c>
    </row>
    <row r="22" ht="13.5" customHeight="1" s="172">
      <c r="A22" s="22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22" s="182" t="n"/>
      <c r="C22" s="227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22" s="219" t="inlineStr">
        <is>
          <t>仔猪价格变化：供给收缩有序但需求仍弱 | 实P | 【来源:伊娃6月初</t>
        </is>
      </c>
      <c r="E22" s="212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22" s="212" t="inlineStr">
        <is>
          <t>付鹏：世界秩序重构本质是蛋糕不够分，AI是唯一增加蛋糕的生产力 | 【来源:付鹏6/7】 | 虚P+1pp</t>
        </is>
      </c>
      <c r="G22" s="212" t="n"/>
      <c r="H22" s="212" t="inlineStr">
        <is>
          <t>蒋宇飞AI基建10年+国产算力长城 | 虚P+2pp | 2026-06-02</t>
        </is>
      </c>
    </row>
    <row r="23" ht="13.5" customHeight="1" s="172">
      <c r="A23" s="22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23" s="227" t="n"/>
      <c r="D23" s="219" t="inlineStr">
        <is>
          <t>生猪出栏体重变化：大猪占比仍高，去产能尚未结束 | 实P | 【来源:伊娃6月初】 | -1pp</t>
        </is>
      </c>
      <c r="E23" s="212" t="n"/>
      <c r="F23" s="212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23" s="212" t="n"/>
      <c r="H23" s="212" t="inlineStr">
        <is>
          <t>黄仁勋访谈：AI算力需求无止境，英伟达系统级交付重塑产业链 | 【来源:拿幸5月底】 | 虚P+1pp</t>
        </is>
      </c>
    </row>
    <row r="24" ht="13.5" customHeight="1" s="172">
      <c r="A24" s="227" t="inlineStr">
        <is>
          <t>宋鸿兵美伊谈判：经济战替代军事战→芯片逻辑不变 | 虚P+3pp | 2026-06-03</t>
        </is>
      </c>
      <c r="C24" s="228" t="n"/>
      <c r="D24" s="219" t="inlineStr">
        <is>
          <t>中小养户资金链：融资环境恶化加快退出 | 实P | 【来源:伊娃6月初】 | +1pp</t>
        </is>
      </c>
      <c r="E24" s="212" t="n"/>
      <c r="F24" s="212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24" s="212" t="n"/>
      <c r="H24" s="212" t="inlineStr">
        <is>
          <t>马斯克诉OpenAI案：硅谷AI开源vs闭源路线之争定调 | 【来源:拿幸5月</t>
        </is>
      </c>
    </row>
    <row r="25" ht="13.5" customHeight="1" s="172">
      <c r="A25" s="227" t="inlineStr">
        <is>
          <t>付鹏：存储=AI基建（观点→共识信号） | 虚P+2pp | 2026-05-16</t>
        </is>
      </c>
      <c r="B25" s="182" t="n"/>
      <c r="D25" s="219" t="inlineStr">
        <is>
          <t>生猪期货走势：近弱远强，市场预期下半年反弹 | 虚P | 【来源:伊娃6月初</t>
        </is>
      </c>
      <c r="E25" s="212" t="n"/>
      <c r="F25" s="212" t="n"/>
      <c r="G25" s="212" t="n"/>
      <c r="H25" s="212" t="inlineStr">
        <is>
          <t>Cloud open48发布：100个agent并行重写75万行代码只用了11天 | 【来源:拿幸6月初】 | 虚P+1pp</t>
        </is>
      </c>
    </row>
    <row r="26" ht="13.5" customHeight="1" s="172">
      <c r="A26" s="227" t="inlineStr">
        <is>
          <t>摩尔定律物理+经济双重极限，半导体产业底层驱动力面临拐点，堆叠/先进封装成新路线 | 实P | 【来源:宋鸿兵6/3】 | -1pp</t>
        </is>
      </c>
      <c r="B26" s="182" t="n"/>
      <c r="D26" s="21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26" s="212" t="n"/>
      <c r="F26" s="212" t="n"/>
      <c r="G26" s="212" t="n"/>
      <c r="H26" s="212" t="inlineStr">
        <is>
          <t>Emergence World实验：AI自我复制+自我改进能力突破，AGI加速 | 【来源:拿幸5月底】 | 虚P+1pp</t>
        </is>
      </c>
    </row>
    <row r="27" ht="13.5" customHeight="1" s="172">
      <c r="A27" s="227" t="inlineStr">
        <is>
          <t>2026年市场主线=AI+大宗。AI非风口是海啸。坚定布局算力GPU/PCB/电力。DeepSeek+OpenAI迭代验证趋势 | 【来源:蒋宇飞手动提供】 | 虚P+3pp</t>
        </is>
      </c>
      <c r="B27" s="182" t="n"/>
      <c r="D27" s="21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27" s="212" t="n"/>
      <c r="F27" s="212" t="n"/>
      <c r="G27" s="212" t="inlineStr">
        <is>
          <t>无知半人：住户贷款狂减4902亿，居民加杠杆时代结束 | 【来源:无知半人】【信源:C级】 | 实P-3pp | 2026-05-22</t>
        </is>
      </c>
      <c r="H27" s="212" t="inlineStr">
        <is>
          <t>AI编程里程碑：Claude Code自愈功能，大幅提升代码生成质量 | 【来源:拿幸5月】 | 虚P+1pp</t>
        </is>
      </c>
    </row>
    <row r="28" ht="13.5" customHeight="1" s="172">
      <c r="A28" s="227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D28" s="219" t="n"/>
      <c r="E28" s="212" t="n"/>
      <c r="F28" s="212" t="n"/>
      <c r="G28" s="212" t="inlineStr">
        <is>
          <t>凯文·沃什就任美联储主席，宏观β冲击（但实际对芯片价格影响≈0，被产业α抵消） | 【来源:宋鸿兵】【信源:B级】 | 实P-2pp | 2026-05-22</t>
        </is>
      </c>
      <c r="H28" s="212" t="inlineStr">
        <is>
          <t>微软Build 2026：Windows从操作系统→agent运行平台，Scout数字员工 | 【来源:拿幸6月初】 | 虚P+1pp</t>
        </is>
      </c>
    </row>
    <row r="29" ht="13.5" customHeight="1" s="172">
      <c r="A29" s="171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F29" s="212" t="n"/>
      <c r="G29" s="212" t="n"/>
      <c r="H29" s="212" t="inlineStr">
        <is>
          <t>EU数字服务法：对拼多多特木罚款2亿欧元，京东外国补贴调查 | 实P | 【来源:闭眼看世界6月初】 | -1pp</t>
        </is>
      </c>
    </row>
    <row r="30" ht="13.5" customHeight="1" s="172">
      <c r="A30" s="229" t="n"/>
      <c r="F30" s="212" t="n"/>
      <c r="G30" s="212" t="n"/>
      <c r="H30" s="212" t="inlineStr">
        <is>
          <t>蒋宇飞五大赛道：AI应用&gt;商业航天&gt;再生医学&gt;有色稀土&gt;电力设备。提前预判提前布局非追高 | 实P | 【来源:蒋宇飞手动提供】 | +2pp</t>
        </is>
      </c>
    </row>
    <row r="31" ht="16.5" customHeight="1" s="172">
      <c r="A31" s="230" t="n"/>
      <c r="B31" s="230" t="n"/>
      <c r="C31" s="230" t="n"/>
      <c r="D31" s="230" t="n"/>
      <c r="E31" s="230" t="n"/>
      <c r="F31" s="212" t="n"/>
      <c r="G31" s="212" t="n"/>
      <c r="H31" s="212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32" ht="16.5" customHeight="1" s="172">
      <c r="F32" s="212" t="n"/>
      <c r="G32" s="212" t="n"/>
      <c r="H32" s="212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33" ht="16.5" customHeight="1" s="172"/>
    <row r="34" ht="16.5" customHeight="1" s="172">
      <c r="K34" s="171" t="inlineStr">
        <is>
          <t>霍尔木兹封锁3月，投资者过度乐观以为6月通航，仅5%认为封锁到年底。油价判断或严重错误 |  | 虚P | 【来源:宋鸿兵6/2</t>
        </is>
      </c>
    </row>
    <row r="35" ht="13.5" customHeight="1" s="172"/>
    <row r="36" ht="13.5" customHeight="1" s="172"/>
    <row r="37" ht="16.5" customHeight="1" s="172"/>
    <row r="38" ht="16.5" customHeight="1" s="172"/>
    <row r="39" ht="13.5" customHeight="1" s="172"/>
    <row r="40" ht="13.5" customHeight="1" s="172"/>
    <row r="41" ht="13.5" customHeight="1" s="172"/>
    <row r="42" ht="16.5" customHeight="1" s="172">
      <c r="A42" s="231" t="n"/>
    </row>
    <row r="43" ht="16.5" customHeight="1" s="172">
      <c r="A43" s="231" t="n"/>
    </row>
    <row r="44" ht="16.5" customHeight="1" s="172">
      <c r="A44" s="231" t="n"/>
    </row>
    <row r="45" ht="13.5" customHeight="1" s="172"/>
    <row r="46" ht="18" customHeight="1" s="172"/>
    <row r="47" ht="15" customHeight="1" s="172"/>
    <row r="48" ht="16.5" customHeight="1" s="172"/>
    <row r="49" ht="16.5" customHeight="1" s="172"/>
    <row r="50" ht="16.5" customHeight="1" s="172"/>
    <row r="51" ht="16.5" customHeight="1" s="172"/>
    <row r="52" ht="16.5" customHeight="1" s="172">
      <c r="A52" s="232" t="n"/>
    </row>
    <row r="53" ht="13.5" customHeight="1" s="172">
      <c r="A53" s="233" t="n"/>
    </row>
    <row r="54" ht="15" customHeight="1" s="172"/>
    <row r="55" ht="16.5" customHeight="1" s="172"/>
    <row r="56" ht="16.5" customHeight="1" s="172"/>
    <row r="57" ht="16.5" customHeight="1" s="172"/>
    <row r="58" ht="16.5" customHeight="1" s="172"/>
    <row r="59" ht="16.5" customHeight="1" s="172"/>
    <row r="60" ht="13.5" customHeight="1" s="172">
      <c r="A60" s="233" t="n"/>
    </row>
    <row r="61" ht="16.5" customHeight="1" s="172"/>
    <row r="62" ht="16.5" customHeight="1" s="172"/>
    <row r="63" ht="16.5" customHeight="1" s="172"/>
    <row r="64" ht="16.5" customHeight="1" s="172"/>
    <row r="65" ht="16.5" customHeight="1" s="172"/>
    <row r="66" ht="16.5" customHeight="1" s="172"/>
    <row r="67" ht="16.5" customHeight="1" s="172">
      <c r="A67" s="234" t="n"/>
      <c r="B67" s="234" t="n"/>
      <c r="C67" s="234" t="n"/>
      <c r="D67" s="234" t="n"/>
      <c r="E67" s="234" t="n"/>
      <c r="F67" s="234" t="n"/>
      <c r="G67" s="234" t="n"/>
      <c r="H67" s="234" t="n"/>
      <c r="I67" s="234" t="inlineStr">
        <is>
          <t>吸引力Score</t>
        </is>
      </c>
      <c r="J67" s="234" t="inlineStr">
        <is>
          <t>双门槛</t>
        </is>
      </c>
      <c r="K67" s="234" t="inlineStr">
        <is>
          <t>建议</t>
        </is>
      </c>
    </row>
    <row r="68" ht="16.5" customHeight="1" s="172">
      <c r="A68" s="235" t="n"/>
      <c r="B68" s="235" t="n"/>
      <c r="C68" s="235" t="n"/>
      <c r="D68" s="235" t="n"/>
      <c r="E68" s="235" t="n"/>
      <c r="F68" s="235" t="n"/>
      <c r="G68" s="235" t="n"/>
      <c r="H68" s="235" t="n"/>
      <c r="I68" s="235" t="inlineStr">
        <is>
          <t>3.375</t>
        </is>
      </c>
      <c r="J68" s="235" t="inlineStr">
        <is>
          <t>通过</t>
        </is>
      </c>
      <c r="K68" s="235" t="inlineStr">
        <is>
          <t>目标37%可投资金</t>
        </is>
      </c>
    </row>
    <row r="69" ht="16.5" customHeight="1" s="172">
      <c r="A69" s="235" t="n"/>
      <c r="B69" s="235" t="n"/>
      <c r="C69" s="235" t="n"/>
      <c r="D69" s="235" t="n"/>
      <c r="E69" s="235" t="n"/>
      <c r="F69" s="235" t="n"/>
      <c r="G69" s="235" t="n"/>
      <c r="H69" s="235" t="n"/>
      <c r="I69" s="235" t="inlineStr">
        <is>
          <t>3.000</t>
        </is>
      </c>
      <c r="J69" s="235" t="inlineStr">
        <is>
          <t>通过</t>
        </is>
      </c>
      <c r="K69" s="235" t="inlineStr">
        <is>
          <t>目标33%可投资金</t>
        </is>
      </c>
    </row>
    <row r="70" ht="16.5" customHeight="1" s="172">
      <c r="A70" s="235" t="n"/>
      <c r="B70" s="235" t="n"/>
      <c r="C70" s="235" t="n"/>
      <c r="D70" s="235" t="n"/>
      <c r="E70" s="235" t="n"/>
      <c r="F70" s="235" t="n"/>
      <c r="G70" s="235" t="n"/>
      <c r="H70" s="235" t="n"/>
      <c r="I70" s="235" t="inlineStr">
        <is>
          <t>1.400</t>
        </is>
      </c>
      <c r="J70" s="235" t="inlineStr">
        <is>
          <t>通过</t>
        </is>
      </c>
      <c r="K70" s="235" t="inlineStr">
        <is>
          <t>目标15%可投资金</t>
        </is>
      </c>
    </row>
    <row r="71" ht="16.5" customHeight="1" s="172">
      <c r="A71" s="235" t="n"/>
      <c r="B71" s="235" t="n"/>
      <c r="C71" s="235" t="n"/>
      <c r="D71" s="235" t="n"/>
      <c r="E71" s="235" t="n"/>
      <c r="F71" s="235" t="n"/>
      <c r="G71" s="235" t="n"/>
      <c r="H71" s="235" t="n"/>
      <c r="I71" s="235" t="inlineStr">
        <is>
          <t>1.300</t>
        </is>
      </c>
      <c r="J71" s="235" t="inlineStr">
        <is>
          <t>通过</t>
        </is>
      </c>
      <c r="K71" s="235" t="inlineStr">
        <is>
          <t>目标14%可投资金</t>
        </is>
      </c>
    </row>
    <row r="72" ht="16.5" customHeight="1" s="172">
      <c r="I72" s="171" t="inlineStr">
        <is>
          <t>1.100</t>
        </is>
      </c>
      <c r="J72" s="171" t="inlineStr">
        <is>
          <t>未通过</t>
        </is>
      </c>
      <c r="K72" s="171" t="inlineStr">
        <is>
          <t>P差4pp</t>
        </is>
      </c>
    </row>
    <row r="73" ht="16.5" customHeight="1" s="172">
      <c r="I73" s="171" t="inlineStr">
        <is>
          <t>0.780</t>
        </is>
      </c>
      <c r="J73" s="171" t="inlineStr">
        <is>
          <t>未通过</t>
        </is>
      </c>
      <c r="K73" s="171" t="inlineStr">
        <is>
          <t>P差7pp + R差0.5</t>
        </is>
      </c>
    </row>
    <row r="74" ht="13.5" customHeight="1" s="172">
      <c r="I74" s="171" t="inlineStr">
        <is>
          <t>0.705</t>
        </is>
      </c>
      <c r="J74" s="171" t="inlineStr">
        <is>
          <t>未通过</t>
        </is>
      </c>
      <c r="K74" s="171" t="inlineStr">
        <is>
          <t>P差13pp + R差0.5</t>
        </is>
      </c>
    </row>
    <row r="75" ht="13.5" customHeight="1" s="172">
      <c r="I75" s="171" t="inlineStr">
        <is>
          <t>0.663</t>
        </is>
      </c>
      <c r="J75" s="171" t="inlineStr">
        <is>
          <t>未通过</t>
        </is>
      </c>
      <c r="K75" s="171" t="inlineStr">
        <is>
          <t>P差20pp + R差0.3</t>
        </is>
      </c>
    </row>
    <row r="76" ht="16.5" customHeight="1" s="172">
      <c r="I76" s="171" t="inlineStr">
        <is>
          <t>0.640</t>
        </is>
      </c>
      <c r="J76" s="171" t="inlineStr">
        <is>
          <t>未通过</t>
        </is>
      </c>
      <c r="K76" s="171" t="inlineStr">
        <is>
          <t>P差19pp + R差0.4</t>
        </is>
      </c>
    </row>
    <row r="77" ht="16.5" customHeight="1" s="172">
      <c r="I77" s="171" t="inlineStr">
        <is>
          <t>0.528</t>
        </is>
      </c>
      <c r="J77" s="171" t="inlineStr">
        <is>
          <t>未通过</t>
        </is>
      </c>
      <c r="K77" s="171" t="inlineStr">
        <is>
          <t>P差15pp + R差0.8</t>
        </is>
      </c>
    </row>
    <row r="78" ht="16.5" customHeight="1" s="172">
      <c r="I78" s="171" t="inlineStr">
        <is>
          <t>0.116</t>
        </is>
      </c>
      <c r="J78" s="171" t="inlineStr">
        <is>
          <t>未通过</t>
        </is>
      </c>
      <c r="K78" s="171" t="inlineStr">
        <is>
          <t>P差31pp + R差1.6</t>
        </is>
      </c>
    </row>
    <row r="79" ht="16.5" customHeight="1" s="172">
      <c r="B79" s="231" t="n"/>
      <c r="I79" s="171" t="inlineStr">
        <is>
          <t>0.000</t>
        </is>
      </c>
      <c r="J79" s="171" t="inlineStr">
        <is>
          <t>基准</t>
        </is>
      </c>
      <c r="K79" s="171" t="inlineStr">
        <is>
          <t>Score=0，所有选项都要跟现金比</t>
        </is>
      </c>
    </row>
    <row r="80" ht="13.5" customHeight="1" s="172"/>
    <row r="81" ht="13.5" customHeight="1" s="172">
      <c r="A81" s="236" t="n"/>
    </row>
    <row r="82" ht="21" customHeight="1" s="172">
      <c r="A82" s="237" t="n"/>
    </row>
    <row r="83" ht="15" customHeight="1" s="172">
      <c r="A83" s="237" t="n"/>
    </row>
    <row r="84" ht="13.5" customHeight="1" s="172">
      <c r="A84" s="237" t="n"/>
    </row>
    <row r="85" ht="16.5" customHeight="1" s="172">
      <c r="A85" s="237" t="n"/>
    </row>
    <row r="86" ht="16.5" customHeight="1" s="172"/>
    <row r="87" ht="16.5" customHeight="1" s="172"/>
    <row r="88" ht="16.5" customHeight="1" s="172">
      <c r="A88" s="238" t="n"/>
    </row>
    <row r="89" ht="13.5" customHeight="1" s="172">
      <c r="A89" s="239" t="n"/>
    </row>
    <row r="90" ht="16.5" customHeight="1" s="172"/>
    <row r="91" ht="16.5" customHeight="1" s="172">
      <c r="A91" s="240" t="n"/>
    </row>
    <row r="92" ht="16.5" customHeight="1" s="172">
      <c r="A92" s="241" t="n"/>
    </row>
    <row r="93" ht="13.5" customHeight="1" s="172">
      <c r="A93" s="241" t="n"/>
    </row>
    <row r="94" ht="16.5" customHeight="1" s="172">
      <c r="A94" s="241" t="n"/>
    </row>
    <row r="95" ht="16.5" customHeight="1" s="172">
      <c r="A95" s="241" t="n"/>
    </row>
    <row r="96" ht="16.5" customHeight="1" s="172">
      <c r="A96" s="241" t="n"/>
    </row>
    <row r="97" ht="16.5" customHeight="1" s="172">
      <c r="A97" s="241" t="n"/>
    </row>
    <row r="98" ht="16.5" customHeight="1" s="172">
      <c r="A98" s="241" t="n"/>
    </row>
    <row r="99" ht="16.5" customHeight="1" s="172"/>
    <row r="100" ht="16.5" customHeight="1" s="172">
      <c r="A100" s="240" t="n"/>
    </row>
    <row r="101" ht="16.5" customHeight="1" s="172">
      <c r="A101" s="241" t="n"/>
    </row>
    <row r="102" ht="13.5" customHeight="1" s="172">
      <c r="A102" s="241" t="n"/>
    </row>
    <row r="103" ht="16.5" customHeight="1" s="172">
      <c r="A103" s="241" t="n"/>
    </row>
    <row r="104" ht="13.5" customHeight="1" s="172">
      <c r="A104" s="241" t="n"/>
    </row>
    <row r="105" ht="16.5" customHeight="1" s="172">
      <c r="A105" s="241" t="n"/>
    </row>
    <row r="106" ht="16.5" customHeight="1" s="172">
      <c r="A106" s="241" t="n"/>
    </row>
    <row r="107" ht="16.5" customHeight="1" s="172">
      <c r="A107" s="241" t="n"/>
    </row>
    <row r="108" ht="16.5" customHeight="1" s="172"/>
    <row r="109" ht="16.5" customHeight="1" s="172">
      <c r="A109" s="242" t="n"/>
    </row>
    <row r="110" ht="16.5" customHeight="1" s="172">
      <c r="A110" s="243" t="n"/>
      <c r="B110" s="243" t="n"/>
      <c r="C110" s="243" t="n"/>
      <c r="D110" s="243" t="n"/>
      <c r="E110" s="243" t="n"/>
      <c r="F110" s="243" t="n"/>
      <c r="G110" s="243" t="n"/>
      <c r="H110" s="243" t="n"/>
      <c r="I110" s="243" t="inlineStr">
        <is>
          <t>Score</t>
        </is>
      </c>
      <c r="J110" s="243" t="inlineStr">
        <is>
          <t>双门槛</t>
        </is>
      </c>
      <c r="K110" s="243" t="inlineStr">
        <is>
          <t>决策信号</t>
        </is>
      </c>
      <c r="L110" s="243" t="inlineStr">
        <is>
          <t>边际量说明</t>
        </is>
      </c>
    </row>
    <row r="111" ht="16.5" customHeight="1" s="172">
      <c r="A111" s="244" t="n"/>
      <c r="B111" s="244" t="n"/>
      <c r="C111" s="244" t="n"/>
      <c r="D111" s="244" t="n"/>
      <c r="E111" s="244" t="n"/>
      <c r="F111" s="244" t="n"/>
      <c r="G111" s="244" t="n"/>
      <c r="H111" s="244" t="n"/>
      <c r="I111" s="244" t="inlineStr">
        <is>
          <t>3.3750</t>
        </is>
      </c>
      <c r="J111" s="244" t="inlineStr">
        <is>
          <t>✅通过</t>
        </is>
      </c>
      <c r="K111" s="244" t="inlineStr">
        <is>
          <t>目标37%可投资金</t>
        </is>
      </c>
      <c r="L111" s="244" t="inlineStr">
        <is>
          <t>堆叠第一梯队，安全边际大，PE30x合理偏低</t>
        </is>
      </c>
    </row>
    <row r="112" ht="16.5" customHeight="1" s="172">
      <c r="A112" s="244" t="n"/>
      <c r="B112" s="244" t="n"/>
      <c r="C112" s="244" t="n"/>
      <c r="D112" s="244" t="n"/>
      <c r="E112" s="244" t="n"/>
      <c r="F112" s="244" t="n"/>
      <c r="G112" s="244" t="n"/>
      <c r="H112" s="244" t="n"/>
      <c r="I112" s="244" t="inlineStr">
        <is>
          <t>3.0000</t>
        </is>
      </c>
      <c r="J112" s="244" t="inlineStr">
        <is>
          <t>✅通过</t>
        </is>
      </c>
      <c r="K112" s="244" t="inlineStr">
        <is>
          <t>目标33%可投资金</t>
        </is>
      </c>
      <c r="L112" s="244" t="inlineStr">
        <is>
          <t>AMD唯一封测通道，不可替代性强</t>
        </is>
      </c>
    </row>
    <row r="113" ht="16.5" customHeight="1" s="172">
      <c r="A113" s="244" t="n"/>
      <c r="B113" s="244" t="n"/>
      <c r="C113" s="244" t="n"/>
      <c r="D113" s="244" t="n"/>
      <c r="E113" s="244" t="n"/>
      <c r="F113" s="244" t="n"/>
      <c r="G113" s="244" t="n"/>
      <c r="H113" s="244" t="n"/>
      <c r="I113" s="244" t="inlineStr">
        <is>
          <t>1.3700</t>
        </is>
      </c>
      <c r="J113" s="244" t="inlineStr">
        <is>
          <t>✅通过</t>
        </is>
      </c>
      <c r="K113" s="244" t="inlineStr">
        <is>
          <t>目标15%可投资金</t>
        </is>
      </c>
      <c r="L113" s="244" t="inlineStr">
        <is>
          <t>左侧等右侧，P值最高</t>
        </is>
      </c>
    </row>
    <row r="114" ht="16.5" customHeight="1" s="172">
      <c r="A114" s="244" t="n"/>
      <c r="B114" s="244" t="n"/>
      <c r="C114" s="244" t="n"/>
      <c r="D114" s="244" t="n"/>
      <c r="E114" s="244" t="n"/>
      <c r="F114" s="244" t="n"/>
      <c r="G114" s="244" t="n"/>
      <c r="H114" s="244" t="n"/>
      <c r="I114" s="244" t="inlineStr">
        <is>
          <t>1.2580</t>
        </is>
      </c>
      <c r="J114" s="244" t="inlineStr">
        <is>
          <t>✅通过</t>
        </is>
      </c>
      <c r="K114" s="244" t="inlineStr">
        <is>
          <t>目标14%可投资金</t>
        </is>
      </c>
      <c r="L114" s="244" t="inlineStr">
        <is>
          <t>右侧持仓，P值健康</t>
        </is>
      </c>
    </row>
    <row r="115" ht="16.5" customHeight="1" s="172">
      <c r="A115" s="221" t="n"/>
      <c r="B115" s="221" t="n"/>
      <c r="C115" s="221" t="n"/>
      <c r="D115" s="221" t="n"/>
      <c r="E115" s="221" t="n"/>
      <c r="F115" s="221" t="n"/>
      <c r="G115" s="221" t="n"/>
      <c r="H115" s="221" t="n"/>
      <c r="I115" s="221" t="inlineStr">
        <is>
          <t>1.1000</t>
        </is>
      </c>
      <c r="J115" s="221" t="inlineStr">
        <is>
          <t>❌未通过</t>
        </is>
      </c>
      <c r="K115" s="221" t="inlineStr">
        <is>
          <t>P差4pp</t>
        </is>
      </c>
      <c r="L115" s="221" t="inlineStr">
        <is>
          <t>机会尾声，兆易创新2月涨81%安全边际不足</t>
        </is>
      </c>
    </row>
    <row r="116" ht="13.5" customHeight="1" s="172">
      <c r="A116" s="221" t="n"/>
      <c r="B116" s="221" t="n"/>
      <c r="C116" s="221" t="n"/>
      <c r="D116" s="221" t="n"/>
      <c r="E116" s="221" t="n"/>
      <c r="F116" s="221" t="n"/>
      <c r="G116" s="221" t="n"/>
      <c r="H116" s="221" t="n"/>
      <c r="I116" s="221" t="inlineStr">
        <is>
          <t>0.7800</t>
        </is>
      </c>
      <c r="J116" s="221" t="inlineStr">
        <is>
          <t>❌未通过</t>
        </is>
      </c>
      <c r="K116" s="221" t="inlineStr">
        <is>
          <t>P差7pp + R差0.5</t>
        </is>
      </c>
      <c r="L116" s="221" t="inlineStr">
        <is>
          <t>10年维度，短期业绩承压，长期AI=核电范式</t>
        </is>
      </c>
    </row>
    <row r="117" ht="18" customHeight="1" s="172">
      <c r="A117" s="221" t="n"/>
      <c r="B117" s="221" t="n"/>
      <c r="C117" s="221" t="n"/>
      <c r="D117" s="221" t="n"/>
      <c r="E117" s="221" t="n"/>
      <c r="F117" s="221" t="n"/>
      <c r="G117" s="221" t="n"/>
      <c r="H117" s="221" t="n"/>
      <c r="I117" s="221" t="inlineStr">
        <is>
          <t>0.6940</t>
        </is>
      </c>
      <c r="J117" s="221" t="inlineStr">
        <is>
          <t>❌未通过</t>
        </is>
      </c>
      <c r="K117" s="221" t="inlineStr">
        <is>
          <t>P差12pp + R差0.5</t>
        </is>
      </c>
      <c r="L117" s="221" t="inlineStr">
        <is>
          <t>监控仓位，高股息防御</t>
        </is>
      </c>
    </row>
    <row r="118" ht="16.5" customHeight="1" s="172">
      <c r="A118" s="221" t="n"/>
      <c r="B118" s="221" t="n"/>
      <c r="C118" s="221" t="n"/>
      <c r="D118" s="221" t="n"/>
      <c r="E118" s="221" t="n"/>
      <c r="F118" s="221" t="n"/>
      <c r="G118" s="221" t="n"/>
      <c r="H118" s="221" t="n"/>
      <c r="I118" s="221" t="inlineStr">
        <is>
          <t>0.6142</t>
        </is>
      </c>
      <c r="J118" s="221" t="inlineStr">
        <is>
          <t>❌未通过</t>
        </is>
      </c>
      <c r="K118" s="221" t="inlineStr">
        <is>
          <t>P差20pp + R差0.3</t>
        </is>
      </c>
      <c r="L118" s="221" t="inlineStr">
        <is>
          <t>周期持仓，关税利空未出尽</t>
        </is>
      </c>
    </row>
    <row r="119" ht="16.5" customHeight="1" s="172">
      <c r="A119" s="221" t="n"/>
      <c r="B119" s="221" t="n"/>
      <c r="C119" s="221" t="n"/>
      <c r="D119" s="221" t="n"/>
      <c r="E119" s="221" t="n"/>
      <c r="F119" s="221" t="n"/>
      <c r="G119" s="221" t="n"/>
      <c r="H119" s="221" t="n"/>
      <c r="I119" s="221" t="inlineStr">
        <is>
          <t>0.5980</t>
        </is>
      </c>
      <c r="J119" s="221" t="inlineStr">
        <is>
          <t>❌未通过</t>
        </is>
      </c>
      <c r="K119" s="221" t="inlineStr">
        <is>
          <t>P差19pp + R差0.4</t>
        </is>
      </c>
      <c r="L119" s="221" t="inlineStr">
        <is>
          <t>战略资源，与有色联动</t>
        </is>
      </c>
    </row>
    <row r="120" ht="16.5" customHeight="1" s="172">
      <c r="A120" s="221" t="n"/>
      <c r="B120" s="221" t="n"/>
      <c r="C120" s="221" t="n"/>
      <c r="D120" s="221" t="n"/>
      <c r="E120" s="221" t="n"/>
      <c r="F120" s="221" t="n"/>
      <c r="G120" s="221" t="n"/>
      <c r="H120" s="221" t="n"/>
      <c r="I120" s="221" t="inlineStr">
        <is>
          <t>0.4440</t>
        </is>
      </c>
      <c r="J120" s="221" t="inlineStr">
        <is>
          <t>❌未通过</t>
        </is>
      </c>
      <c r="K120" s="221" t="inlineStr">
        <is>
          <t>P差15pp + R差0.8</t>
        </is>
      </c>
      <c r="L120" s="221" t="inlineStr">
        <is>
          <t>右侧持仓，P偏低但产业趋势强</t>
        </is>
      </c>
    </row>
    <row r="121" ht="16.5" customHeight="1" s="172">
      <c r="A121" s="245" t="n"/>
      <c r="B121" s="246" t="n"/>
      <c r="C121" s="245" t="n"/>
      <c r="D121" s="245" t="n"/>
      <c r="E121" s="245" t="n"/>
      <c r="F121" s="245" t="n"/>
      <c r="G121" s="245" t="n"/>
      <c r="H121" s="245" t="n"/>
      <c r="I121" s="245" t="inlineStr">
        <is>
          <t>0.0000</t>
        </is>
      </c>
      <c r="J121" s="245" t="inlineStr">
        <is>
          <t>基准</t>
        </is>
      </c>
      <c r="K121" s="245" t="inlineStr">
        <is>
          <t>Score=0，所有选项都要跟现金比</t>
        </is>
      </c>
      <c r="L121" s="245" t="inlineStr">
        <is>
          <t>无风险但无收益，通胀侵蚀购买力</t>
        </is>
      </c>
    </row>
    <row r="122" ht="13.5" customHeight="1" s="172"/>
    <row r="123" ht="13.5" customHeight="1" s="172">
      <c r="A123" s="232" t="n"/>
    </row>
    <row r="124" ht="13.5" customHeight="1" s="172">
      <c r="B124" s="237" t="n"/>
    </row>
    <row r="125" ht="13.5" customHeight="1" s="172">
      <c r="B125" s="237" t="n"/>
    </row>
    <row r="126" ht="13.5" customHeight="1" s="172">
      <c r="B126" s="237" t="n"/>
    </row>
    <row r="127" ht="13.5" customHeight="1" s="172">
      <c r="B127" s="237" t="n"/>
    </row>
    <row r="128" ht="13.5" customHeight="1" s="172"/>
    <row r="129" ht="13.5" customHeight="1" s="172">
      <c r="A129" s="202" t="n"/>
    </row>
    <row r="130" ht="15" customHeight="1" s="172">
      <c r="A130" s="202" t="n"/>
    </row>
    <row r="131" ht="79.5" customHeight="1" s="172">
      <c r="A131" s="202" t="n"/>
    </row>
    <row r="132" ht="13.5" customHeight="1" s="172">
      <c r="A132" s="202" t="n"/>
    </row>
    <row r="133" ht="15" customHeight="1" s="172">
      <c r="A133" s="202" t="n"/>
    </row>
    <row r="134" ht="79.5" customHeight="1" s="172">
      <c r="A134" s="202" t="n"/>
    </row>
    <row r="135" ht="13.5" customHeight="1" s="172"/>
    <row r="136" ht="18" customHeight="1" s="172">
      <c r="A136" s="247" t="n"/>
    </row>
    <row r="137" ht="32.25" customHeight="1" s="172">
      <c r="A137" s="248" t="n"/>
      <c r="B137" s="248" t="n"/>
      <c r="C137" s="248" t="n"/>
      <c r="D137" s="248" t="n"/>
      <c r="E137" s="248" t="n"/>
      <c r="F137" s="248" t="n"/>
      <c r="G137" s="248" t="n"/>
    </row>
    <row r="138" ht="63.75" customHeight="1" s="172"/>
    <row r="139" ht="63.75" customHeight="1" s="172">
      <c r="A139" s="247" t="n"/>
    </row>
    <row r="140" ht="13.5" customHeight="1" s="172">
      <c r="A140" s="248" t="n"/>
      <c r="B140" s="248" t="n"/>
      <c r="C140" s="248" t="n"/>
      <c r="D140" s="248" t="n"/>
      <c r="E140" s="248" t="n"/>
      <c r="F140" s="248" t="n"/>
      <c r="G140" s="248" t="n"/>
    </row>
    <row r="141" ht="16.5" customHeight="1" s="172"/>
    <row r="142" ht="16.5" customHeight="1" s="172">
      <c r="A142" s="249" t="n"/>
    </row>
    <row r="143" ht="16.5" customHeight="1" s="172">
      <c r="A143" s="231" t="n"/>
      <c r="B143" s="200" t="n"/>
    </row>
    <row r="144" ht="16.5" customHeight="1" s="172">
      <c r="B144" s="200" t="n"/>
    </row>
    <row r="145" ht="16.5" customHeight="1" s="172">
      <c r="B145" s="200" t="n"/>
    </row>
    <row r="146" ht="16.5" customHeight="1" s="172"/>
    <row r="147" ht="16.5" customHeight="1" s="172">
      <c r="A147" s="250" t="n"/>
      <c r="B147" s="250" t="n"/>
      <c r="C147" s="250" t="n"/>
      <c r="D147" s="250" t="n"/>
      <c r="E147" s="250" t="n"/>
      <c r="F147" s="250" t="n"/>
    </row>
    <row r="148" ht="16.5" customHeight="1" s="172">
      <c r="A148" s="221" t="n"/>
      <c r="B148" s="221" t="n"/>
      <c r="C148" s="221" t="n"/>
      <c r="D148" s="251" t="n"/>
      <c r="E148" s="221" t="n"/>
      <c r="F148" s="221" t="n"/>
    </row>
    <row r="149" ht="13.5" customHeight="1" s="172">
      <c r="A149" s="221" t="n"/>
      <c r="B149" s="221" t="n"/>
      <c r="C149" s="221" t="n"/>
      <c r="D149" s="251" t="n"/>
      <c r="E149" s="221" t="n"/>
      <c r="F149" s="221" t="n"/>
    </row>
    <row r="150" ht="18" customHeight="1" s="172">
      <c r="A150" s="221" t="n"/>
      <c r="B150" s="221" t="n"/>
      <c r="C150" s="221" t="n"/>
      <c r="D150" s="251" t="n"/>
      <c r="E150" s="221" t="n"/>
      <c r="F150" s="221" t="n"/>
    </row>
    <row r="151" ht="13.5" customHeight="1" s="172">
      <c r="A151" s="221" t="n"/>
      <c r="B151" s="221" t="n"/>
      <c r="C151" s="221" t="n"/>
      <c r="D151" s="252" t="n"/>
      <c r="E151" s="221" t="n"/>
      <c r="F151" s="221" t="n"/>
    </row>
    <row r="152" ht="13.5" customHeight="1" s="172">
      <c r="A152" s="221" t="n"/>
      <c r="B152" s="221" t="n"/>
      <c r="C152" s="221" t="n"/>
      <c r="D152" s="252" t="n"/>
      <c r="E152" s="221" t="n"/>
      <c r="F152" s="221" t="n"/>
    </row>
    <row r="153" ht="79.5" customHeight="1" s="172">
      <c r="A153" s="221" t="n"/>
      <c r="B153" s="221" t="n"/>
      <c r="C153" s="221" t="n"/>
      <c r="D153" s="252" t="n"/>
      <c r="E153" s="221" t="n"/>
      <c r="F153" s="221" t="n"/>
    </row>
    <row r="154" ht="63.75" customHeight="1" s="172">
      <c r="A154" s="221" t="n"/>
      <c r="B154" s="221" t="n"/>
      <c r="C154" s="221" t="n"/>
      <c r="D154" s="252" t="n"/>
      <c r="E154" s="221" t="n"/>
      <c r="F154" s="221" t="n"/>
    </row>
    <row r="155" ht="48" customHeight="1" s="172"/>
    <row r="156" ht="63.75" customHeight="1" s="172">
      <c r="A156" s="249" t="n"/>
    </row>
    <row r="157" ht="63.75" customHeight="1" s="172"/>
    <row r="158" ht="13.5" customHeight="1" s="172">
      <c r="A158" s="231" t="n"/>
    </row>
    <row r="159" ht="16.5" customHeight="1" s="172">
      <c r="A159" s="200" t="n"/>
    </row>
    <row r="160" ht="48" customHeight="1" s="172">
      <c r="A160" s="200" t="n"/>
    </row>
    <row r="161" ht="63.75" customHeight="1" s="172">
      <c r="A161" s="200" t="n"/>
    </row>
    <row r="162" ht="48" customHeight="1" s="172">
      <c r="A162" s="200" t="n"/>
    </row>
    <row r="163" ht="63.75" customHeight="1" s="172">
      <c r="A163" s="200" t="n"/>
    </row>
    <row r="164" ht="13.5" customHeight="1" s="172"/>
    <row r="165" ht="13.5" customHeight="1" s="172">
      <c r="A165" s="231" t="n"/>
    </row>
    <row r="166" ht="79.5" customHeight="1" s="172">
      <c r="A166" s="200" t="n"/>
    </row>
    <row r="167" ht="63.75" customHeight="1" s="172">
      <c r="A167" s="200" t="n"/>
    </row>
    <row r="168" ht="48" customHeight="1" s="172">
      <c r="A168" s="200" t="n"/>
    </row>
    <row r="169" ht="63.75" customHeight="1" s="172">
      <c r="A169" s="200" t="n"/>
    </row>
    <row r="170" ht="48" customHeight="1" s="172"/>
    <row r="171" ht="79.5" customHeight="1" s="172">
      <c r="A171" s="231" t="n"/>
    </row>
    <row r="172" ht="13.5" customHeight="1" s="172">
      <c r="A172" s="200" t="n"/>
    </row>
    <row r="173" ht="13.5" customHeight="1" s="172">
      <c r="A173" s="200" t="n"/>
    </row>
    <row r="174" ht="63.75" customHeight="1" s="172">
      <c r="A174" s="200" t="n"/>
    </row>
    <row r="175" ht="48" customHeight="1" s="172">
      <c r="A175" s="200" t="n"/>
    </row>
    <row r="176" ht="48" customHeight="1" s="172">
      <c r="A176" s="200" t="n"/>
    </row>
    <row r="177" ht="79.5" customHeight="1" s="172">
      <c r="A177" s="200" t="n"/>
    </row>
    <row r="178" ht="13.5" customHeight="1" s="172"/>
    <row r="179" ht="16.5" customHeight="1" s="172">
      <c r="A179" s="231" t="n"/>
    </row>
    <row r="180" ht="13.5" customHeight="1" s="172">
      <c r="A180" s="200" t="n"/>
    </row>
    <row r="181" ht="16.5" customHeight="1" s="172">
      <c r="A181" s="200" t="n"/>
    </row>
    <row r="182" ht="16.5" customHeight="1" s="172">
      <c r="A182" s="200" t="n"/>
    </row>
    <row r="183" ht="16.5" customHeight="1" s="172">
      <c r="A183" s="200" t="n"/>
    </row>
    <row r="184" ht="13.5" customHeight="1" s="172"/>
    <row r="185" ht="13.5" customHeight="1" s="172">
      <c r="A185" s="231" t="n"/>
    </row>
    <row r="186" ht="16.5" customHeight="1" s="172"/>
    <row r="187" ht="16.5" customHeight="1" s="172">
      <c r="A187" s="231" t="n"/>
    </row>
    <row r="188" ht="16.5" customHeight="1" s="172">
      <c r="A188" s="231" t="n"/>
    </row>
    <row r="189" ht="13.5" customHeight="1" s="172">
      <c r="A189" s="231" t="n"/>
    </row>
    <row r="190" ht="16.5" customHeight="1" s="172"/>
    <row r="191" ht="16.5" customHeight="1" s="172">
      <c r="A191" s="231" t="n"/>
    </row>
    <row r="192" ht="16.5" customHeight="1" s="172"/>
    <row r="193" ht="16.5" customHeight="1" s="172"/>
    <row r="194" ht="16.5" customHeight="1" s="172"/>
    <row r="195" ht="13.5" customHeight="1" s="172"/>
    <row r="196" ht="13.5" customHeight="1" s="172"/>
    <row r="197" ht="16.5" customHeight="1" s="172"/>
    <row r="198" ht="16.5" customHeight="1" s="172">
      <c r="A198" s="182" t="n"/>
      <c r="B198" s="182" t="n"/>
      <c r="C198" s="182" t="n"/>
      <c r="D198" s="182" t="n"/>
      <c r="F198" s="182" t="n"/>
      <c r="H198" s="182" t="n"/>
    </row>
    <row r="199" ht="16.5" customHeight="1" s="172"/>
    <row r="200" ht="16.5" customHeight="1" s="172"/>
    <row r="201" ht="16.5" customHeight="1" s="172"/>
    <row r="202" ht="13.5" customHeight="1" s="172"/>
    <row r="203" ht="13.5" customHeight="1" s="172"/>
    <row r="204" ht="16.5" customHeight="1" s="172">
      <c r="A204" s="231" t="n"/>
      <c r="B204" s="231" t="n"/>
      <c r="C204" s="231" t="n"/>
      <c r="D204" s="231" t="n"/>
      <c r="E204" s="231" t="n"/>
      <c r="F204" s="231" t="n"/>
      <c r="G204" s="231" t="n"/>
      <c r="H204" s="231" t="n"/>
      <c r="I204" s="231" t="inlineStr">
        <is>
          <t>Score</t>
        </is>
      </c>
      <c r="J204" s="231" t="inlineStr">
        <is>
          <t>信号</t>
        </is>
      </c>
    </row>
    <row r="205" ht="16.5" customHeight="1" s="172">
      <c r="I205" s="171" t="inlineStr">
        <is>
          <t>1.3207</t>
        </is>
      </c>
      <c r="J205" s="171" t="inlineStr">
        <is>
          <t>🟢优先</t>
        </is>
      </c>
    </row>
    <row r="206" ht="16.5" customHeight="1" s="172">
      <c r="I206" s="171" t="inlineStr">
        <is>
          <t>0.9000</t>
        </is>
      </c>
      <c r="J206" s="171" t="inlineStr">
        <is>
          <t>🟡观察</t>
        </is>
      </c>
    </row>
    <row r="207" ht="16.5" customHeight="1" s="172">
      <c r="I207" s="171" t="inlineStr">
        <is>
          <t>0.6687</t>
        </is>
      </c>
      <c r="J207" s="171" t="inlineStr">
        <is>
          <t>🟡观察</t>
        </is>
      </c>
    </row>
    <row r="208" ht="16.5" customHeight="1" s="172">
      <c r="I208" s="171" t="inlineStr">
        <is>
          <t>0.5308</t>
        </is>
      </c>
      <c r="J208" s="171" t="inlineStr">
        <is>
          <t>🟡观察</t>
        </is>
      </c>
    </row>
    <row r="209" ht="13.5" customHeight="1" s="172">
      <c r="I209" s="171" t="inlineStr">
        <is>
          <t>0.5000</t>
        </is>
      </c>
      <c r="J209" s="171" t="inlineStr">
        <is>
          <t>🟡观察</t>
        </is>
      </c>
    </row>
    <row r="210" ht="16.5" customHeight="1" s="172">
      <c r="I210" s="171" t="inlineStr">
        <is>
          <t>0.3651</t>
        </is>
      </c>
      <c r="J210" s="171" t="inlineStr">
        <is>
          <t>🟡观察</t>
        </is>
      </c>
    </row>
    <row r="211" ht="16.5" customHeight="1" s="172">
      <c r="I211" s="171" t="inlineStr">
        <is>
          <t>0.3177</t>
        </is>
      </c>
      <c r="J211" s="171" t="inlineStr">
        <is>
          <t>🟡观察</t>
        </is>
      </c>
    </row>
    <row r="212" ht="13.5" customHeight="1" s="172">
      <c r="I212" s="171" t="inlineStr">
        <is>
          <t>0.2436</t>
        </is>
      </c>
      <c r="J212" s="171" t="inlineStr">
        <is>
          <t>🔴不动</t>
        </is>
      </c>
    </row>
    <row r="213" ht="13.5" customHeight="1" s="172">
      <c r="I213" s="171" t="inlineStr">
        <is>
          <t>0.2005</t>
        </is>
      </c>
      <c r="J213" s="171" t="inlineStr">
        <is>
          <t>🔴不动</t>
        </is>
      </c>
    </row>
    <row r="214" ht="16.5" customHeight="1" s="172">
      <c r="I214" s="171" t="inlineStr">
        <is>
          <t>0.1625</t>
        </is>
      </c>
      <c r="J214" s="171" t="inlineStr">
        <is>
          <t>🔴不动</t>
        </is>
      </c>
    </row>
    <row r="215" ht="16.5" customHeight="1" s="172"/>
    <row r="216" ht="16.5" customHeight="1" s="172"/>
    <row r="217" ht="16.5" customHeight="1" s="172"/>
    <row r="218" ht="16.5" customHeight="1" s="172"/>
    <row r="219" ht="16.5" customHeight="1" s="172"/>
    <row r="220" ht="16.5" customHeight="1" s="172">
      <c r="A220" s="231" t="n"/>
    </row>
    <row r="221" ht="16.5" customHeight="1" s="172"/>
    <row r="222" ht="16.5" customHeight="1" s="172"/>
    <row r="223" ht="16.5" customHeight="1" s="172"/>
    <row r="224" ht="16.5" customHeight="1" s="172"/>
    <row r="225" ht="16.5" customHeight="1" s="172"/>
    <row r="226" ht="16.5" customHeight="1" s="172"/>
    <row r="227" ht="16.5" customHeight="1" s="172"/>
    <row r="228" ht="16.5" customHeight="1" s="172"/>
    <row r="229" ht="13.5" customHeight="1" s="172"/>
    <row r="230" ht="16.5" customHeight="1" s="172"/>
    <row r="231" ht="13.5" customHeight="1" s="172"/>
    <row r="232" ht="16.5" customHeight="1" s="172"/>
    <row r="233" ht="13.5" customHeight="1" s="172"/>
    <row r="234" ht="16.5" customHeight="1" s="172"/>
    <row r="235" ht="16.5" customHeight="1" s="172"/>
    <row r="236" ht="16.5" customHeight="1" s="172"/>
    <row r="237" ht="16.5" customHeight="1" s="172"/>
    <row r="238" ht="13.5" customHeight="1" s="172"/>
    <row r="239" ht="16.5" customHeight="1" s="172"/>
    <row r="240" ht="16.5" customHeight="1" s="172"/>
    <row r="241" ht="16.5" customHeight="1" s="172"/>
    <row r="242" ht="13.5" customHeight="1" s="172"/>
    <row r="243" ht="16.5" customHeight="1" s="172"/>
    <row r="244" ht="16.5" customHeight="1" s="172"/>
    <row r="245" ht="16.5" customHeight="1" s="172"/>
    <row r="246" ht="16.5" customHeight="1" s="172"/>
    <row r="247" ht="13.5" customHeight="1" s="172"/>
    <row r="248" ht="16.5" customHeight="1" s="172"/>
    <row r="249" ht="16.5" customHeight="1" s="172"/>
    <row r="250" ht="16.5" customHeight="1" s="172"/>
    <row r="251" ht="13.5" customHeight="1" s="172"/>
    <row r="252" ht="16.5" customHeight="1" s="172"/>
    <row r="253" ht="16.5" customHeight="1" s="172"/>
    <row r="254" ht="13.5" customHeight="1" s="172"/>
    <row r="255" ht="16.5" customHeight="1" s="172"/>
    <row r="256" ht="16.5" customHeight="1" s="172"/>
    <row r="257" ht="16.5" customHeight="1" s="172"/>
    <row r="258" ht="16.5" customHeight="1" s="172"/>
    <row r="259" ht="16.5" customHeight="1" s="172"/>
    <row r="260" ht="16.5" customHeight="1" s="172"/>
    <row r="261" ht="180" customHeight="1" s="172"/>
    <row r="262" ht="156" customHeight="1" s="172"/>
    <row r="263" ht="156" customHeight="1" s="172"/>
    <row r="264" ht="142.5" customHeight="1" s="172"/>
    <row r="265" ht="157.5" customHeight="1" s="172"/>
    <row r="266" ht="126.75" customHeight="1" s="172"/>
    <row r="267" ht="12.75" customHeight="1" s="172">
      <c r="A267" s="253" t="n"/>
      <c r="F267" s="253" t="n"/>
    </row>
    <row r="268" ht="12.75" customHeight="1" s="172">
      <c r="A268" s="254" t="n"/>
      <c r="F268" s="254" t="n"/>
    </row>
    <row r="269" ht="12.75" customHeight="1" s="172">
      <c r="A269" s="254" t="n"/>
      <c r="F269" s="254" t="n"/>
    </row>
    <row r="270" ht="12.75" customHeight="1" s="172">
      <c r="A270" s="227" t="n"/>
    </row>
    <row r="271" ht="12.75" customHeight="1" s="172">
      <c r="A271" s="227" t="n"/>
    </row>
    <row r="272">
      <c r="A272" s="22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1" min="1" max="1"/>
    <col width="14" customWidth="1" style="171" min="2" max="2"/>
    <col width="10" customWidth="1" style="171" min="3" max="3"/>
    <col width="14" customWidth="1" style="171" min="4" max="4"/>
    <col width="8" customWidth="1" style="171" min="5" max="9"/>
    <col width="12" customWidth="1" style="171" min="10" max="10"/>
    <col width="10" customWidth="1" style="171" min="11" max="11"/>
    <col width="14" customWidth="1" style="171" min="12" max="12"/>
    <col width="12" customWidth="1" style="171" min="13" max="13"/>
    <col width="16" customWidth="1" style="171" min="14" max="14"/>
  </cols>
  <sheetData>
    <row r="1" ht="17.25" customHeight="1" s="172">
      <c r="A1" s="229" t="inlineStr">
        <is>
          <t>📊 机会成本排序表 R=P/(1-P) 2026-06-06</t>
        </is>
      </c>
      <c r="I1" s="171" t="inlineStr">
        <is>
          <t>26-6-9日凌晨批注：期望值没有批注愿意和逻辑，没有来龙去脉</t>
        </is>
      </c>
    </row>
    <row r="2" ht="15" customHeight="1" s="172">
      <c r="A2" s="255" t="inlineStr">
        <is>
          <t>审核: 2026-06-06 小龙虾多轮审核 | R=P/(1-P) 纯P值转换 | 芯片宏观降权 | 信源门控已嵌入</t>
        </is>
      </c>
      <c r="B2" s="256" t="n"/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  <c r="N2" s="256" t="n"/>
    </row>
    <row r="3" ht="15" customHeight="1" s="172">
      <c r="A3" s="257" t="inlineStr">
        <is>
          <t>排名</t>
        </is>
      </c>
      <c r="B3" s="258" t="inlineStr">
        <is>
          <t>选项</t>
        </is>
      </c>
      <c r="C3" s="258" t="inlineStr">
        <is>
          <t>代码</t>
        </is>
      </c>
      <c r="D3" s="258" t="inlineStr">
        <is>
          <t>类型</t>
        </is>
      </c>
      <c r="E3" s="258" t="inlineStr">
        <is>
          <t>有效P</t>
        </is>
      </c>
      <c r="F3" s="258" t="inlineStr">
        <is>
          <t>R=P/(1-P)</t>
        </is>
      </c>
      <c r="G3" s="258" t="inlineStr">
        <is>
          <t>EV(P×R)</t>
        </is>
      </c>
      <c r="H3" s="258" t="inlineStr">
        <is>
          <t>仓位w</t>
        </is>
      </c>
      <c r="I3" s="258" t="inlineStr">
        <is>
          <t>Score</t>
        </is>
      </c>
      <c r="J3" s="258" t="inlineStr">
        <is>
          <t>EV分级</t>
        </is>
      </c>
      <c r="K3" s="258" t="inlineStr">
        <is>
          <t>信号</t>
        </is>
      </c>
      <c r="L3" s="259" t="n"/>
      <c r="M3" s="259" t="n"/>
      <c r="N3" s="259" t="n"/>
    </row>
    <row r="4" ht="16.5" customHeight="1" s="172">
      <c r="A4" s="171" t="n">
        <v>1</v>
      </c>
      <c r="B4" s="171" t="inlineStr">
        <is>
          <t>堆叠(长电/通富)</t>
        </is>
      </c>
      <c r="C4" s="171" t="inlineStr">
        <is>
          <t>600584/002156</t>
        </is>
      </c>
      <c r="D4" s="171" t="inlineStr">
        <is>
          <t>待重</t>
        </is>
      </c>
      <c r="E4" s="171" t="inlineStr">
        <is>
          <t>75%</t>
        </is>
      </c>
      <c r="F4" s="171" t="inlineStr">
        <is>
          <t>4.5:1</t>
        </is>
      </c>
      <c r="G4" s="171" t="n">
        <v>3.38</v>
      </c>
      <c r="H4" s="171" t="inlineStr">
        <is>
          <t>0%</t>
        </is>
      </c>
      <c r="I4" s="171" t="n">
        <v>3.38</v>
      </c>
      <c r="J4" s="171" t="inlineStr">
        <is>
          <t>正期望</t>
        </is>
      </c>
      <c r="K4" s="171" t="inlineStr">
        <is>
          <t>🟢优先</t>
        </is>
      </c>
    </row>
    <row r="5" ht="16.5" customHeight="1" s="172">
      <c r="A5" s="229" t="n">
        <v>2</v>
      </c>
      <c r="B5" s="171" t="inlineStr">
        <is>
          <t>电池009759</t>
        </is>
      </c>
      <c r="C5" s="171" t="inlineStr">
        <is>
          <t>009759</t>
        </is>
      </c>
      <c r="D5" s="171" t="inlineStr">
        <is>
          <t>持仓</t>
        </is>
      </c>
      <c r="E5" s="171" t="inlineStr">
        <is>
          <t>67%</t>
        </is>
      </c>
      <c r="F5" s="171" t="inlineStr">
        <is>
          <t>2.03:1</t>
        </is>
      </c>
      <c r="G5" s="171" t="n">
        <v>1.36</v>
      </c>
      <c r="H5" s="171" t="inlineStr">
        <is>
          <t>15%</t>
        </is>
      </c>
      <c r="I5" s="171" t="n">
        <v>1.31</v>
      </c>
      <c r="J5" s="171" t="inlineStr">
        <is>
          <t>正期望</t>
        </is>
      </c>
      <c r="K5" s="171" t="inlineStr">
        <is>
          <t>🟢优先</t>
        </is>
      </c>
      <c r="M5" s="260" t="n"/>
      <c r="N5" s="260" t="n"/>
    </row>
    <row r="6" ht="48" customHeight="1" s="172">
      <c r="A6" s="261" t="n">
        <v>3</v>
      </c>
      <c r="B6" s="171" t="inlineStr">
        <is>
          <t>原油162411</t>
        </is>
      </c>
      <c r="C6" s="171" t="inlineStr">
        <is>
          <t>162411</t>
        </is>
      </c>
      <c r="D6" s="171" t="inlineStr">
        <is>
          <t>待重</t>
        </is>
      </c>
      <c r="E6" s="171" t="inlineStr">
        <is>
          <t>60%</t>
        </is>
      </c>
      <c r="F6" s="171" t="inlineStr">
        <is>
          <t>1.50:1</t>
        </is>
      </c>
      <c r="G6" s="171" t="n">
        <v>0.9</v>
      </c>
      <c r="H6" s="171" t="inlineStr">
        <is>
          <t>0%</t>
        </is>
      </c>
      <c r="I6" s="171" t="n">
        <v>0.9</v>
      </c>
      <c r="J6" s="171" t="inlineStr">
        <is>
          <t>弱正期望</t>
        </is>
      </c>
      <c r="K6" s="171" t="inlineStr">
        <is>
          <t>🟡观察</t>
        </is>
      </c>
      <c r="M6" s="262" t="n"/>
      <c r="N6" s="187" t="n"/>
    </row>
    <row r="7" ht="32.25" customHeight="1" s="172">
      <c r="A7" s="202" t="n">
        <v>4</v>
      </c>
      <c r="B7" s="171" t="inlineStr">
        <is>
          <t>养殖008765</t>
        </is>
      </c>
      <c r="C7" s="171" t="inlineStr">
        <is>
          <t>008765</t>
        </is>
      </c>
      <c r="D7" s="171" t="inlineStr">
        <is>
          <t>持仓</t>
        </is>
      </c>
      <c r="E7" s="171" t="inlineStr">
        <is>
          <t>56%</t>
        </is>
      </c>
      <c r="F7" s="171" t="inlineStr">
        <is>
          <t>1.27:1</t>
        </is>
      </c>
      <c r="G7" s="171" t="n">
        <v>0.71</v>
      </c>
      <c r="H7" s="171" t="inlineStr">
        <is>
          <t>5%</t>
        </is>
      </c>
      <c r="I7" s="171" t="n">
        <v>0.6899999999999999</v>
      </c>
      <c r="J7" s="171" t="inlineStr">
        <is>
          <t>弱正期望</t>
        </is>
      </c>
      <c r="K7" s="171" t="inlineStr">
        <is>
          <t>🟡观察</t>
        </is>
      </c>
      <c r="M7" s="262" t="n"/>
      <c r="N7" s="187" t="n"/>
    </row>
    <row r="8" ht="32.25" customHeight="1" s="172">
      <c r="A8" s="263" t="n">
        <v>5</v>
      </c>
      <c r="B8" s="263" t="inlineStr">
        <is>
          <t>存储赛道</t>
        </is>
      </c>
      <c r="C8" s="263" t="inlineStr">
        <is>
          <t>-</t>
        </is>
      </c>
      <c r="D8" s="263" t="inlineStr">
        <is>
          <t>待重</t>
        </is>
      </c>
      <c r="E8" s="263" t="inlineStr">
        <is>
          <t>51%</t>
        </is>
      </c>
      <c r="F8" s="263" t="inlineStr">
        <is>
          <t>1.04:1</t>
        </is>
      </c>
      <c r="G8" s="263" t="n">
        <v>0.53</v>
      </c>
      <c r="H8" s="263" t="inlineStr">
        <is>
          <t>0%</t>
        </is>
      </c>
      <c r="I8" s="263" t="n">
        <v>0.53</v>
      </c>
      <c r="J8" s="263" t="inlineStr">
        <is>
          <t>弱正期望</t>
        </is>
      </c>
      <c r="K8" s="263" t="inlineStr">
        <is>
          <t>🟡观察</t>
        </is>
      </c>
      <c r="L8" s="264" t="n"/>
      <c r="M8" s="262" t="n"/>
      <c r="N8" s="187" t="n"/>
    </row>
    <row r="9" ht="32.25" customHeight="1" s="172">
      <c r="A9" s="265" t="n">
        <v>6</v>
      </c>
      <c r="B9" s="266" t="inlineStr">
        <is>
          <t>核电赛道</t>
        </is>
      </c>
      <c r="C9" s="266" t="inlineStr">
        <is>
          <t>-</t>
        </is>
      </c>
      <c r="D9" s="266" t="inlineStr">
        <is>
          <t>待重</t>
        </is>
      </c>
      <c r="E9" s="266" t="inlineStr">
        <is>
          <t>50%</t>
        </is>
      </c>
      <c r="F9" s="266" t="inlineStr">
        <is>
          <t>1.00:1</t>
        </is>
      </c>
      <c r="G9" s="266" t="n">
        <v>0.5</v>
      </c>
      <c r="H9" s="266" t="inlineStr">
        <is>
          <t>0%</t>
        </is>
      </c>
      <c r="I9" s="266" t="n">
        <v>0.5</v>
      </c>
      <c r="J9" s="265" t="inlineStr">
        <is>
          <t>负期望</t>
        </is>
      </c>
      <c r="K9" s="266" t="inlineStr">
        <is>
          <t>🔴不动</t>
        </is>
      </c>
      <c r="L9" s="209" t="n"/>
      <c r="M9" s="262" t="n"/>
      <c r="N9" s="187" t="n"/>
    </row>
    <row r="10" ht="32.25" customHeight="1" s="172">
      <c r="A10" s="265" t="n">
        <v>7</v>
      </c>
      <c r="B10" s="266" t="inlineStr">
        <is>
          <t>MLCC(风华/三环)</t>
        </is>
      </c>
      <c r="C10" s="266" t="inlineStr">
        <is>
          <t>000636/300675</t>
        </is>
      </c>
      <c r="D10" s="266" t="inlineStr">
        <is>
          <t>待重</t>
        </is>
      </c>
      <c r="E10" s="266" t="inlineStr">
        <is>
          <t>47%</t>
        </is>
      </c>
      <c r="F10" s="266" t="inlineStr">
        <is>
          <t>0.89:1</t>
        </is>
      </c>
      <c r="G10" s="266" t="n">
        <v>0.42</v>
      </c>
      <c r="H10" s="266" t="inlineStr">
        <is>
          <t>0%</t>
        </is>
      </c>
      <c r="I10" s="266" t="n">
        <v>0.42</v>
      </c>
      <c r="J10" s="265" t="inlineStr">
        <is>
          <t>负期望</t>
        </is>
      </c>
      <c r="K10" s="266" t="inlineStr">
        <is>
          <t>🔴观察</t>
        </is>
      </c>
      <c r="L10" s="209" t="n"/>
      <c r="M10" s="262" t="n"/>
      <c r="N10" s="187" t="n"/>
    </row>
    <row r="11" ht="32.25" customHeight="1" s="172">
      <c r="A11" s="265" t="n">
        <v>8</v>
      </c>
      <c r="B11" s="266" t="inlineStr">
        <is>
          <t>芯片020628</t>
        </is>
      </c>
      <c r="C11" s="266" t="inlineStr">
        <is>
          <t>020628</t>
        </is>
      </c>
      <c r="D11" s="266" t="inlineStr">
        <is>
          <t>持仓</t>
        </is>
      </c>
      <c r="E11" s="266" t="inlineStr">
        <is>
          <t>48%</t>
        </is>
      </c>
      <c r="F11" s="266" t="inlineStr">
        <is>
          <t>0.92:1</t>
        </is>
      </c>
      <c r="G11" s="266" t="n">
        <v>0.44</v>
      </c>
      <c r="H11" s="266" t="inlineStr">
        <is>
          <t>8%</t>
        </is>
      </c>
      <c r="I11" s="266" t="n">
        <v>0.4</v>
      </c>
      <c r="J11" s="265" t="inlineStr">
        <is>
          <t>负期望</t>
        </is>
      </c>
      <c r="K11" s="266" t="inlineStr">
        <is>
          <t>🔴不动</t>
        </is>
      </c>
      <c r="L11" s="209" t="n"/>
      <c r="M11" s="262" t="n"/>
      <c r="N11" s="187" t="n"/>
    </row>
    <row r="12" ht="32.25" customHeight="1" s="172">
      <c r="A12" s="265" t="n">
        <v>9</v>
      </c>
      <c r="B12" s="266" t="inlineStr">
        <is>
          <t>银行001595</t>
        </is>
      </c>
      <c r="C12" s="266" t="inlineStr">
        <is>
          <t>001595</t>
        </is>
      </c>
      <c r="D12" s="266" t="inlineStr">
        <is>
          <t>持仓</t>
        </is>
      </c>
      <c r="E12" s="266" t="inlineStr">
        <is>
          <t>44%</t>
        </is>
      </c>
      <c r="F12" s="266" t="inlineStr">
        <is>
          <t>0.79:1</t>
        </is>
      </c>
      <c r="G12" s="266" t="n">
        <v>0.35</v>
      </c>
      <c r="H12" s="266" t="inlineStr">
        <is>
          <t>2%</t>
        </is>
      </c>
      <c r="I12" s="266" t="n">
        <v>0.33</v>
      </c>
      <c r="J12" s="265" t="inlineStr">
        <is>
          <t>负期望</t>
        </is>
      </c>
      <c r="K12" s="266" t="inlineStr">
        <is>
          <t>🔴不动</t>
        </is>
      </c>
      <c r="L12" s="209" t="n"/>
      <c r="M12" s="262" t="n"/>
      <c r="N12" s="187" t="n"/>
    </row>
    <row r="13" ht="32.25" customHeight="1" s="172">
      <c r="A13" s="267" t="n">
        <v>10</v>
      </c>
      <c r="B13" s="268" t="inlineStr">
        <is>
          <t>稀金008907</t>
        </is>
      </c>
      <c r="C13" s="268" t="inlineStr">
        <is>
          <t>008907</t>
        </is>
      </c>
      <c r="D13" s="268" t="inlineStr">
        <is>
          <t>持仓</t>
        </is>
      </c>
      <c r="E13" s="268" t="inlineStr">
        <is>
          <t>41%</t>
        </is>
      </c>
      <c r="F13" s="268" t="inlineStr">
        <is>
          <t>0.69:1</t>
        </is>
      </c>
      <c r="G13" s="268" t="n">
        <v>0.28</v>
      </c>
      <c r="H13" s="268" t="inlineStr">
        <is>
          <t>3%</t>
        </is>
      </c>
      <c r="I13" s="268" t="n">
        <v>0.27</v>
      </c>
      <c r="J13" s="267" t="inlineStr">
        <is>
          <t>负期望</t>
        </is>
      </c>
      <c r="K13" s="268" t="inlineStr">
        <is>
          <t>🔴不动</t>
        </is>
      </c>
      <c r="L13" s="209" t="n"/>
      <c r="M13" s="262" t="n"/>
      <c r="N13" s="187" t="n"/>
    </row>
    <row r="14" ht="32.25" customHeight="1" s="172">
      <c r="A14" s="267" t="n">
        <v>11</v>
      </c>
      <c r="B14" s="268" t="inlineStr">
        <is>
          <t>有色008826</t>
        </is>
      </c>
      <c r="C14" s="268" t="inlineStr">
        <is>
          <t>008826</t>
        </is>
      </c>
      <c r="D14" s="268" t="inlineStr">
        <is>
          <t>持仓</t>
        </is>
      </c>
      <c r="E14" s="268" t="inlineStr">
        <is>
          <t>39%</t>
        </is>
      </c>
      <c r="F14" s="268" t="inlineStr">
        <is>
          <t>0.64:1</t>
        </is>
      </c>
      <c r="G14" s="268" t="n">
        <v>0.25</v>
      </c>
      <c r="H14" s="268" t="inlineStr">
        <is>
          <t>4%</t>
        </is>
      </c>
      <c r="I14" s="268" t="n">
        <v>0.22</v>
      </c>
      <c r="J14" s="267" t="inlineStr">
        <is>
          <t>负期望</t>
        </is>
      </c>
      <c r="K14" s="268" t="inlineStr">
        <is>
          <t>🔴不动</t>
        </is>
      </c>
      <c r="L14" s="209" t="n"/>
      <c r="M14" s="262" t="n"/>
      <c r="N14" s="187" t="n"/>
    </row>
    <row r="15" ht="32.25" customHeight="1" s="172">
      <c r="A15" s="267" t="n">
        <v>12</v>
      </c>
      <c r="B15" s="268" t="inlineStr">
        <is>
          <t>恒科009854</t>
        </is>
      </c>
      <c r="C15" s="268" t="inlineStr">
        <is>
          <t>009854</t>
        </is>
      </c>
      <c r="D15" s="268" t="inlineStr">
        <is>
          <t>持仓</t>
        </is>
      </c>
      <c r="E15" s="268" t="inlineStr">
        <is>
          <t>33%</t>
        </is>
      </c>
      <c r="F15" s="268" t="inlineStr">
        <is>
          <t>0.49:1</t>
        </is>
      </c>
      <c r="G15" s="268" t="n">
        <v>0.16</v>
      </c>
      <c r="H15" s="268" t="inlineStr">
        <is>
          <t>6%</t>
        </is>
      </c>
      <c r="I15" s="268" t="n">
        <v>0.12</v>
      </c>
      <c r="J15" s="267" t="inlineStr">
        <is>
          <t>负期望</t>
        </is>
      </c>
      <c r="K15" s="268" t="inlineStr">
        <is>
          <t>🔴不动</t>
        </is>
      </c>
      <c r="L15" s="209" t="n"/>
      <c r="M15" s="262" t="n"/>
      <c r="N15" s="187" t="n"/>
    </row>
    <row r="16" ht="32.25" customHeight="1" s="172">
      <c r="A16" s="267" t="n"/>
      <c r="B16" s="268" t="n"/>
      <c r="C16" s="268" t="n"/>
      <c r="D16" s="268" t="n"/>
      <c r="E16" s="268" t="n"/>
      <c r="F16" s="268" t="n"/>
      <c r="G16" s="268" t="n"/>
      <c r="H16" s="268" t="n"/>
      <c r="I16" s="268" t="n"/>
      <c r="J16" s="267" t="n"/>
      <c r="K16" s="268" t="n"/>
      <c r="L16" s="209" t="n"/>
      <c r="M16" s="262" t="n"/>
      <c r="N16" s="187" t="n"/>
    </row>
    <row r="17" ht="16.5" customHeight="1" s="172">
      <c r="A17" s="267" t="n"/>
      <c r="B17" s="268" t="inlineStr">
        <is>
          <t>现金（基准）</t>
        </is>
      </c>
      <c r="C17" s="268" t="n"/>
      <c r="D17" s="268" t="n"/>
      <c r="E17" s="268" t="n"/>
      <c r="F17" s="268" t="n"/>
      <c r="G17" s="268" t="n">
        <v>0</v>
      </c>
      <c r="H17" s="268" t="n"/>
      <c r="I17" s="268" t="n">
        <v>0</v>
      </c>
      <c r="J17" s="267" t="inlineStr">
        <is>
          <t>基准</t>
        </is>
      </c>
      <c r="K17" s="268" t="n"/>
      <c r="L17" s="209" t="n"/>
      <c r="M17" s="209" t="n"/>
      <c r="N17" s="209" t="n"/>
    </row>
    <row r="18" ht="16.5" customHeight="1" s="172">
      <c r="A18" s="269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69" t="n"/>
      <c r="K18" s="270" t="n"/>
      <c r="L18" s="209" t="n"/>
      <c r="M18" s="209" t="n"/>
      <c r="N18" s="209" t="n"/>
    </row>
    <row r="19" ht="32.25" customHeight="1" s="172">
      <c r="A19" s="269" t="inlineStr">
        <is>
          <t>结论：待重仓排序（2026-06-06 更新）</t>
        </is>
      </c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69" t="n"/>
      <c r="K19" s="270" t="n"/>
      <c r="L19" s="209" t="n"/>
      <c r="M19" s="209" t="n"/>
      <c r="N19" s="209" t="n"/>
    </row>
    <row r="20" ht="15" customHeight="1" s="172">
      <c r="A20" s="271" t="inlineStr">
        <is>
          <t>1. 堆叠(长电/通富) P=75% R=4.5:1 — AI核心瓶颈，不可替代，🟢优先</t>
        </is>
      </c>
      <c r="B20" s="200" t="n"/>
      <c r="C20" s="200" t="n"/>
      <c r="D20" s="200" t="n"/>
      <c r="E20" s="200" t="n"/>
      <c r="F20" s="200" t="n"/>
      <c r="G20" s="200" t="n"/>
      <c r="H20" s="200" t="n"/>
      <c r="I20" s="200" t="n"/>
      <c r="J20" s="271" t="n"/>
      <c r="K20" s="200" t="n"/>
      <c r="L20" s="209" t="n"/>
      <c r="M20" s="209" t="n"/>
      <c r="N20" s="209" t="n"/>
    </row>
    <row r="21" ht="16.5" customHeight="1" s="172">
      <c r="A21" s="209" t="inlineStr">
        <is>
          <t>2. 原油162411 P=60% R=1.5:1 — 地缘驱动，🟡观察</t>
        </is>
      </c>
      <c r="B21" s="209" t="n"/>
      <c r="C21" s="209" t="n"/>
      <c r="D21" s="209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</row>
    <row r="22" ht="16.5" customHeight="1" s="172">
      <c r="A22" s="231" t="inlineStr">
        <is>
          <t>3. 存储赛道 P=51% R=1.04:1 — AI存储需求，🟡观察</t>
        </is>
      </c>
    </row>
    <row r="23" ht="16.5" customHeight="1" s="172">
      <c r="A23" s="272" t="inlineStr">
        <is>
          <t>4. 核电赛道 P=50% R=1.0:1 — 长期逻辑，🟡观察</t>
        </is>
      </c>
    </row>
    <row r="24" ht="16.5" customHeight="1" s="172">
      <c r="A24" s="231" t="inlineStr">
        <is>
          <t>5. MLCC(风华/三环) P=47% R=0.89:1 — 被动受益，逻辑泛，🔴不重仓</t>
        </is>
      </c>
    </row>
    <row r="25" ht="16.5" customHeight="1" s="172">
      <c r="A25" s="273" t="n"/>
      <c r="B25" s="274" t="n"/>
      <c r="C25" s="274" t="n"/>
    </row>
    <row r="26" ht="15" customHeight="1" s="172">
      <c r="A26" s="275" t="inlineStr">
        <is>
          <t>堆叠 vs MLCC：堆叠是AI不用就造不出来（硬逻辑），MLCC是AI用得多（泛逻辑）。差距明显。</t>
        </is>
      </c>
    </row>
    <row r="27" ht="16.5" customHeight="1" s="172">
      <c r="A27" s="275" t="n"/>
    </row>
    <row r="28" ht="16.5" customHeight="1" s="172">
      <c r="A28" s="275" t="n"/>
    </row>
    <row r="29" ht="15" customHeight="1" s="172">
      <c r="A29" s="275" t="n"/>
    </row>
    <row r="30" ht="16.5" customHeight="1" s="172">
      <c r="A30" s="275" t="inlineStr">
        <is>
          <t>毛利率</t>
        </is>
      </c>
      <c r="B30" s="171" t="inlineStr">
        <is>
          <t>30-40%</t>
        </is>
      </c>
      <c r="C30" s="171" t="inlineStr">
        <is>
          <t>40-50%+</t>
        </is>
      </c>
    </row>
    <row r="31" ht="16.5" customHeight="1" s="172">
      <c r="A31" s="275" t="inlineStr">
        <is>
          <t>竞争格局</t>
        </is>
      </c>
      <c r="B31" s="171" t="inlineStr">
        <is>
          <t>分散，周期性强的</t>
        </is>
      </c>
      <c r="C31" s="171" t="inlineStr">
        <is>
          <t>寡头垄断，产能稀缺</t>
        </is>
      </c>
    </row>
    <row r="32" ht="15" customHeight="1" s="172">
      <c r="A32" s="275" t="inlineStr">
        <is>
          <t>确定性</t>
        </is>
      </c>
      <c r="B32" s="171" t="inlineStr">
        <is>
          <t>中等</t>
        </is>
      </c>
      <c r="C32" s="171" t="inlineStr">
        <is>
          <t>高</t>
        </is>
      </c>
    </row>
    <row r="33" ht="15" customHeight="1" s="172">
      <c r="A33" s="275" t="inlineStr">
        <is>
          <t>结论</t>
        </is>
      </c>
      <c r="B33" s="171" t="inlineStr">
        <is>
          <t>关注但不值得重仓</t>
        </is>
      </c>
      <c r="C33" s="171" t="inlineStr">
        <is>
          <t>优先配置 ✅</t>
        </is>
      </c>
    </row>
    <row r="34" ht="15" customHeight="1" s="172"/>
    <row r="35" ht="15" customHeight="1" s="172">
      <c r="A35" s="231" t="inlineStr">
        <is>
          <t>核心逻辑：MLCC是'AI用得多所以买MLCC'（泛逻辑），堆叠是'AI不用堆叠就造不出来'（硬逻辑）</t>
        </is>
      </c>
    </row>
    <row r="36" ht="15" customHeight="1" s="172">
      <c r="A36" s="276" t="n"/>
    </row>
    <row r="37" ht="15" customHeight="1" s="172">
      <c r="A37" s="276" t="n"/>
    </row>
    <row r="38" ht="15" customHeight="1" s="172">
      <c r="A38" s="276" t="n"/>
    </row>
    <row r="39" ht="15" customHeight="1" s="172">
      <c r="A39" s="276" t="n"/>
    </row>
    <row r="40" ht="15" customHeight="1" s="172">
      <c r="A40" s="276" t="n"/>
    </row>
    <row r="41" ht="15" customHeight="1" s="172">
      <c r="A41" s="276" t="n"/>
    </row>
    <row r="42" ht="15" customHeight="1" s="172">
      <c r="A42" s="276" t="n"/>
    </row>
    <row r="43" ht="15" customHeight="1" s="172">
      <c r="A43" s="276" t="n"/>
    </row>
    <row r="44" ht="15" customHeight="1" s="172">
      <c r="A44" s="276" t="n"/>
    </row>
    <row r="45" ht="15" customHeight="1" s="172">
      <c r="A45" s="276" t="n"/>
    </row>
    <row r="46" ht="15" customHeight="1" s="172"/>
    <row r="47" ht="16.5" customHeight="1" s="172">
      <c r="A47" s="236" t="n"/>
    </row>
    <row r="48" ht="15" customHeight="1" s="172">
      <c r="A48" s="277" t="n"/>
    </row>
    <row r="49" ht="15" customHeight="1" s="172">
      <c r="A49" s="202" t="n"/>
    </row>
    <row r="50" ht="15" customHeight="1" s="172">
      <c r="A50" s="202" t="n"/>
    </row>
    <row r="51" ht="15" customHeight="1" s="172">
      <c r="A51" s="202" t="n"/>
    </row>
    <row r="52" ht="15" customHeight="1" s="172">
      <c r="A52" s="202" t="n"/>
    </row>
    <row r="53" ht="15" customHeight="1" s="172">
      <c r="A53" s="278" t="n"/>
    </row>
    <row r="54" ht="15" customHeight="1" s="172">
      <c r="A54" s="202" t="n"/>
    </row>
    <row r="55" ht="15" customHeight="1" s="172"/>
    <row r="56" ht="15" customHeight="1" s="172"/>
    <row r="57" ht="15" customHeight="1" s="172"/>
    <row r="58" ht="15" customHeight="1" s="172"/>
    <row r="59" ht="15" customHeight="1" s="17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2">
      <c r="A1" s="171" t="inlineStr">
        <is>
          <t>P值vs价格拟合分析 (Spearman秩相关) 2026-06-03</t>
        </is>
      </c>
    </row>
    <row r="2" ht="16.5" customHeight="1" s="172">
      <c r="A2" s="171" t="inlineStr">
        <is>
          <t>持仓</t>
        </is>
      </c>
      <c r="B2" s="171" t="inlineStr">
        <is>
          <t>代码</t>
        </is>
      </c>
      <c r="C2" s="171" t="inlineStr">
        <is>
          <t>拟合分</t>
        </is>
      </c>
      <c r="D2" s="171" t="inlineStr">
        <is>
          <t>Spearman ρ</t>
        </is>
      </c>
      <c r="E2" s="171" t="inlineStr">
        <is>
          <t>p值</t>
        </is>
      </c>
      <c r="F2" s="171" t="inlineStr">
        <is>
          <t>样本数</t>
        </is>
      </c>
      <c r="G2" s="171" t="inlineStr">
        <is>
          <t>评级</t>
        </is>
      </c>
      <c r="H2" s="171" t="inlineStr">
        <is>
          <t>信源建议</t>
        </is>
      </c>
    </row>
    <row r="3" ht="15" customHeight="1" s="172">
      <c r="A3" s="171" t="inlineStr">
        <is>
          <t>电池</t>
        </is>
      </c>
      <c r="B3" s="171" t="inlineStr">
        <is>
          <t>009759</t>
        </is>
      </c>
      <c r="C3" s="171" t="n">
        <v>97</v>
      </c>
      <c r="D3" s="171" t="n">
        <v>0.966</v>
      </c>
      <c r="E3" s="171" t="n">
        <v>0</v>
      </c>
      <c r="F3" s="171" t="n">
        <v>9</v>
      </c>
      <c r="G3" s="171" t="inlineStr">
        <is>
          <t>✅优秀</t>
        </is>
      </c>
      <c r="H3" s="171" t="inlineStr">
        <is>
          <t>信源加分</t>
        </is>
      </c>
    </row>
    <row r="4" ht="15" customHeight="1" s="172">
      <c r="A4" s="171" t="inlineStr">
        <is>
          <t>养殖</t>
        </is>
      </c>
      <c r="B4" s="171" t="inlineStr">
        <is>
          <t>008765</t>
        </is>
      </c>
      <c r="C4" s="171" t="n">
        <v>95</v>
      </c>
      <c r="D4" s="171" t="n">
        <v>0.955</v>
      </c>
      <c r="E4" s="171" t="n">
        <v>0.001</v>
      </c>
      <c r="F4" s="171" t="n">
        <v>7</v>
      </c>
      <c r="G4" s="171" t="inlineStr">
        <is>
          <t>✅优秀</t>
        </is>
      </c>
      <c r="H4" s="171" t="inlineStr">
        <is>
          <t>信源加分</t>
        </is>
      </c>
    </row>
    <row r="5" ht="15" customHeight="1" s="172">
      <c r="A5" s="171" t="inlineStr">
        <is>
          <t>恒科</t>
        </is>
      </c>
      <c r="B5" s="171" t="inlineStr">
        <is>
          <t>009854</t>
        </is>
      </c>
      <c r="C5" s="171" t="n">
        <v>75</v>
      </c>
      <c r="D5" s="171" t="n">
        <v>0.754</v>
      </c>
      <c r="E5" s="171" t="n">
        <v>0.08400000000000001</v>
      </c>
      <c r="F5" s="171" t="n">
        <v>6</v>
      </c>
      <c r="G5" s="171" t="inlineStr">
        <is>
          <t>✅优秀</t>
        </is>
      </c>
      <c r="H5" s="171" t="inlineStr">
        <is>
          <t>信源加分</t>
        </is>
      </c>
    </row>
    <row r="6" ht="15" customHeight="1" s="172">
      <c r="A6" s="171" t="inlineStr">
        <is>
          <t>银行</t>
        </is>
      </c>
      <c r="B6" s="171" t="inlineStr">
        <is>
          <t>012888</t>
        </is>
      </c>
      <c r="C6" s="171" t="n">
        <v>53</v>
      </c>
      <c r="D6" s="171" t="n">
        <v>0.53</v>
      </c>
      <c r="E6" s="171" t="n">
        <v>0.358</v>
      </c>
      <c r="F6" s="171" t="n">
        <v>5</v>
      </c>
      <c r="G6" s="171" t="inlineStr">
        <is>
          <t>👍良好</t>
        </is>
      </c>
      <c r="H6" s="171" t="inlineStr">
        <is>
          <t>信源保持</t>
        </is>
      </c>
    </row>
    <row r="7" ht="15" customHeight="1" s="172">
      <c r="A7" s="171" t="inlineStr">
        <is>
          <t>稀金</t>
        </is>
      </c>
      <c r="B7" s="171" t="inlineStr">
        <is>
          <t>008907</t>
        </is>
      </c>
      <c r="C7" s="171" t="n">
        <v>50</v>
      </c>
      <c r="D7" s="171" t="n">
        <v>0.5</v>
      </c>
      <c r="E7" s="171" t="n">
        <v>0.667</v>
      </c>
      <c r="F7" s="171" t="n">
        <v>3</v>
      </c>
      <c r="G7" s="171" t="inlineStr">
        <is>
          <t>⚠️样本不足</t>
        </is>
      </c>
      <c r="H7" s="171" t="inlineStr">
        <is>
          <t>需积累</t>
        </is>
      </c>
    </row>
    <row r="8" ht="15" customHeight="1" s="172">
      <c r="A8" s="171" t="inlineStr">
        <is>
          <t>有色</t>
        </is>
      </c>
      <c r="B8" s="171" t="inlineStr">
        <is>
          <t>008826</t>
        </is>
      </c>
      <c r="C8" s="171" t="n">
        <v>0</v>
      </c>
      <c r="D8" s="171" t="n">
        <v>-0.5</v>
      </c>
      <c r="E8" s="171" t="n">
        <v>0.667</v>
      </c>
      <c r="F8" s="171" t="n">
        <v>3</v>
      </c>
      <c r="G8" s="171" t="inlineStr">
        <is>
          <t>⚠️样本不足</t>
        </is>
      </c>
      <c r="H8" s="171" t="inlineStr">
        <is>
          <t>需积累</t>
        </is>
      </c>
    </row>
    <row r="9" ht="16.5" customHeight="1" s="172">
      <c r="A9" s="171" t="inlineStr">
        <is>
          <t>芯片</t>
        </is>
      </c>
      <c r="B9" s="171" t="inlineStr">
        <is>
          <t>020628</t>
        </is>
      </c>
      <c r="C9" s="171" t="n">
        <v>0</v>
      </c>
      <c r="D9" s="171" t="n">
        <v>-0.676</v>
      </c>
      <c r="E9" s="171" t="n">
        <v>0.022</v>
      </c>
      <c r="F9" s="171" t="n">
        <v>11</v>
      </c>
      <c r="G9" s="171" t="inlineStr">
        <is>
          <t>❌差</t>
        </is>
      </c>
      <c r="H9" s="171" t="inlineStr">
        <is>
          <t>信源减分/替换</t>
        </is>
      </c>
    </row>
    <row r="11" ht="15" customHeight="1" s="172">
      <c r="A11" s="171" t="inlineStr">
        <is>
          <t>方法说明：</t>
        </is>
      </c>
    </row>
    <row r="12" ht="16.5" customHeight="1" s="172">
      <c r="A12" s="171" t="inlineStr">
        <is>
          <t>1. Spearman秩相关：衡量P值累计趋势与价格累计趋势的单调一致性</t>
        </is>
      </c>
    </row>
    <row r="13" ht="16.5" customHeight="1" s="172">
      <c r="A13" s="171" t="inlineStr">
        <is>
          <t>2. 允许非线性、允许滞后、不要求同一天同向</t>
        </is>
      </c>
    </row>
    <row r="14" ht="16.5" customHeight="1" s="172">
      <c r="A14" s="171" t="inlineStr">
        <is>
          <t>3. 正值=同向拟合，负值=反向不拟合</t>
        </is>
      </c>
    </row>
    <row r="15" ht="16.5" customHeight="1" s="172">
      <c r="A15" s="171" t="inlineStr">
        <is>
          <t>4. p值&lt;0.05=统计显著</t>
        </is>
      </c>
    </row>
    <row r="16" ht="15" customHeight="1" s="172">
      <c r="A16" s="171" t="n"/>
    </row>
    <row r="18" ht="15" customHeight="1" s="172">
      <c r="A18" s="171" t="n"/>
    </row>
    <row r="19" ht="15" customHeight="1" s="172">
      <c r="A19" s="171" t="n"/>
    </row>
    <row r="20" ht="15" customHeight="1" s="172">
      <c r="A20" s="171" t="n"/>
    </row>
    <row r="21" ht="15" customHeight="1" s="172">
      <c r="A21" s="171" t="n"/>
    </row>
    <row r="22" ht="15" customHeight="1" s="172">
      <c r="A22" s="171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1" min="1" max="1"/>
    <col width="20" customWidth="1" style="171" min="2" max="2"/>
    <col width="22" customWidth="1" style="171" min="3" max="4"/>
    <col width="12" customWidth="1" style="171" min="5" max="5"/>
    <col width="10" customWidth="1" style="171" min="6" max="7"/>
    <col width="12" customWidth="1" style="171" min="8" max="8"/>
  </cols>
  <sheetData>
    <row r="1" ht="21" customHeight="1" s="172">
      <c r="A1" s="279" t="inlineStr">
        <is>
          <t>🔥 三源联动分析（2026-06-04）</t>
        </is>
      </c>
    </row>
    <row r="2" ht="18" customHeight="1" s="172">
      <c r="A2" s="229" t="inlineStr">
        <is>
          <t>知乎纳指安全 + 达利欧AI泡沫 + 李大霄窄牛宽熊 → 综合研判</t>
        </is>
      </c>
    </row>
    <row r="4" ht="15" customHeight="1" s="172">
      <c r="A4" s="229" t="inlineStr">
        <is>
          <t>一、三源核心观点对比</t>
        </is>
      </c>
    </row>
    <row r="5" ht="18" customHeight="1" s="172">
      <c r="A5" s="280" t="inlineStr">
        <is>
          <t>维度</t>
        </is>
      </c>
      <c r="B5" s="280" t="inlineStr">
        <is>
          <t>知乎纳指安全</t>
        </is>
      </c>
      <c r="C5" s="280" t="inlineStr">
        <is>
          <t>达利欧AI泡沫</t>
        </is>
      </c>
      <c r="D5" s="280" t="inlineStr">
        <is>
          <t>李大霄窄牛宽熊</t>
        </is>
      </c>
    </row>
    <row r="6" ht="32.25" customHeight="1" s="172">
      <c r="A6" s="209" t="inlineStr">
        <is>
          <t>核心结论</t>
        </is>
      </c>
      <c r="B6" s="209" t="inlineStr">
        <is>
          <t>纳指PE中值区间，安全</t>
        </is>
      </c>
      <c r="C6" s="209" t="inlineStr">
        <is>
          <t>AI泡沫65-75%概率年底破</t>
        </is>
      </c>
      <c r="D6" s="209" t="inlineStr">
        <is>
          <t>美股全市场已熊市，指数是假象</t>
        </is>
      </c>
    </row>
    <row r="7" ht="32.25" customHeight="1" s="172">
      <c r="A7" s="209" t="inlineStr">
        <is>
          <t>对AI态度</t>
        </is>
      </c>
      <c r="B7" s="209" t="inlineStr">
        <is>
          <t>七姐妹6家估值合理</t>
        </is>
      </c>
      <c r="C7" s="209" t="inlineStr">
        <is>
          <t>技术不会失败，但估值泡沫</t>
        </is>
      </c>
      <c r="D7" s="209" t="inlineStr">
        <is>
          <t>AI龙头虹吸全市场资金</t>
        </is>
      </c>
    </row>
    <row r="8" ht="16.5" customHeight="1" s="172">
      <c r="A8" s="209" t="inlineStr">
        <is>
          <t>历史对标</t>
        </is>
      </c>
      <c r="B8" s="209" t="inlineStr">
        <is>
          <t>5维度排查无暴跌信号</t>
        </is>
      </c>
      <c r="C8" s="209" t="inlineStr">
        <is>
          <t>对标dotcom泡沫模式</t>
        </is>
      </c>
      <c r="D8" s="209" t="inlineStr">
        <is>
          <t>对标2000科网+2008次贷</t>
        </is>
      </c>
    </row>
    <row r="9" ht="16.5" customHeight="1" s="172">
      <c r="A9" s="209" t="inlineStr">
        <is>
          <t>短期判断</t>
        </is>
      </c>
      <c r="B9" s="209" t="inlineStr">
        <is>
          <t>继续持有</t>
        </is>
      </c>
      <c r="C9" s="209" t="inlineStr">
        <is>
          <t>降低预期但不清仓</t>
        </is>
      </c>
      <c r="D9" s="209" t="inlineStr">
        <is>
          <t>窄牛末期随时可能断崖</t>
        </is>
      </c>
    </row>
    <row r="10" ht="16.5" customHeight="1" s="172">
      <c r="A10" s="209" t="inlineStr">
        <is>
          <t>可信度</t>
        </is>
      </c>
      <c r="B10" s="209" t="inlineStr">
        <is>
          <t>⭐⭐⭐ 中上</t>
        </is>
      </c>
      <c r="C10" s="209" t="inlineStr">
        <is>
          <t>⭐⭐⭐⭐⭐ 极高</t>
        </is>
      </c>
      <c r="D10" s="209" t="inlineStr">
        <is>
          <t>⭐⭐ 参考即可</t>
        </is>
      </c>
    </row>
    <row r="12" ht="15" customHeight="1" s="172">
      <c r="A12" s="229" t="inlineStr">
        <is>
          <t>二、三源互锁验证（关键）</t>
        </is>
      </c>
    </row>
    <row r="13" ht="48" customHeight="1" s="172">
      <c r="A13" s="209" t="inlineStr">
        <is>
          <t>达利欧×李大霄</t>
        </is>
      </c>
      <c r="B13" s="281" t="inlineStr">
        <is>
          <t>✅ 互相印证</t>
        </is>
      </c>
      <c r="C13" s="209" t="inlineStr">
        <is>
          <t>达利欧说AI泡沫→李大霄说窄牛宽熊=同一个现象的两个角度</t>
        </is>
      </c>
      <c r="D13" s="209" t="inlineStr">
        <is>
          <t>强信号</t>
        </is>
      </c>
    </row>
    <row r="14" ht="63.75" customHeight="1" s="172">
      <c r="A14" s="209" t="inlineStr">
        <is>
          <t>知乎×达利欧</t>
        </is>
      </c>
      <c r="B14" s="282" t="inlineStr">
        <is>
          <t>⚠️ 部分矛盾</t>
        </is>
      </c>
      <c r="C14" s="209" t="inlineStr">
        <is>
          <t>知乎说PE中值安全 vs 达利欧说65-75%概率回调→知乎看估值，达利欧看流动性</t>
        </is>
      </c>
      <c r="D14" s="209" t="inlineStr">
        <is>
          <t>中性</t>
        </is>
      </c>
    </row>
    <row r="15" ht="48" customHeight="1" s="172">
      <c r="A15" s="209" t="inlineStr">
        <is>
          <t>知乎×李大霄</t>
        </is>
      </c>
      <c r="B15" s="283" t="inlineStr">
        <is>
          <t>❌ 矛盾</t>
        </is>
      </c>
      <c r="C15" s="209" t="inlineStr">
        <is>
          <t>知乎说纳指安全 vs 李大霄说全市场已熊→知乎看指数，李大霄看全市场</t>
        </is>
      </c>
      <c r="D15" s="209" t="inlineStr">
        <is>
          <t>需分辨</t>
        </is>
      </c>
    </row>
    <row r="16" ht="48" customHeight="1" s="172">
      <c r="A16" s="209" t="inlineStr">
        <is>
          <t>三源共识</t>
        </is>
      </c>
      <c r="B16" s="209" t="inlineStr">
        <is>
          <t>🔴 核心共识</t>
        </is>
      </c>
      <c r="C16" s="209" t="inlineStr">
        <is>
          <t>三源都承认：AI龙头估值偏高、市场极度集中、中小盘已熊</t>
        </is>
      </c>
      <c r="D16" s="209" t="inlineStr">
        <is>
          <t>强信号</t>
        </is>
      </c>
    </row>
    <row r="19" ht="18" customHeight="1" s="172">
      <c r="A19" s="229" t="inlineStr">
        <is>
          <t>三、对持仓P值联动影响</t>
        </is>
      </c>
    </row>
    <row r="20" ht="18" customHeight="1" s="172">
      <c r="A20" s="280" t="inlineStr">
        <is>
          <t>持仓</t>
        </is>
      </c>
      <c r="B20" s="280" t="inlineStr">
        <is>
          <t>知乎影响</t>
        </is>
      </c>
      <c r="C20" s="280" t="inlineStr">
        <is>
          <t>达利欧影响</t>
        </is>
      </c>
      <c r="D20" s="280" t="inlineStr">
        <is>
          <t>李大霄影响</t>
        </is>
      </c>
      <c r="E20" s="280" t="inlineStr">
        <is>
          <t>净影响</t>
        </is>
      </c>
      <c r="F20" s="280" t="inlineStr">
        <is>
          <t>原P值</t>
        </is>
      </c>
      <c r="G20" s="280" t="inlineStr">
        <is>
          <t>新P值</t>
        </is>
      </c>
      <c r="H20" s="280" t="inlineStr">
        <is>
          <t>决策</t>
        </is>
      </c>
    </row>
    <row r="21" ht="16.5" customHeight="1" s="172">
      <c r="A21" s="209" t="inlineStr">
        <is>
          <t>恒科009854</t>
        </is>
      </c>
      <c r="B21" s="209" t="inlineStr">
        <is>
          <t>+1pp 纳指安全</t>
        </is>
      </c>
      <c r="C21" s="209" t="inlineStr">
        <is>
          <t>-1pp AI泡沫连带</t>
        </is>
      </c>
      <c r="D21" s="209" t="inlineStr">
        <is>
          <t>-2pp 窄牛宽熊</t>
        </is>
      </c>
      <c r="E21" s="209" t="inlineStr">
        <is>
          <t>-2pp</t>
        </is>
      </c>
      <c r="F21" s="209" t="inlineStr">
        <is>
          <t>29%</t>
        </is>
      </c>
      <c r="G21" s="209" t="inlineStr">
        <is>
          <t>27%</t>
        </is>
      </c>
      <c r="H21" s="209" t="inlineStr">
        <is>
          <t>❌不干</t>
        </is>
      </c>
    </row>
    <row r="22" ht="16.5" customHeight="1" s="172">
      <c r="A22" s="209" t="inlineStr">
        <is>
          <t>芯片020628</t>
        </is>
      </c>
      <c r="B22" s="209" t="inlineStr">
        <is>
          <t>0pp 中性</t>
        </is>
      </c>
      <c r="C22" s="209" t="inlineStr">
        <is>
          <t>-2pp AI泡沫直接</t>
        </is>
      </c>
      <c r="D22" s="209" t="inlineStr">
        <is>
          <t>-1pp 权重集中</t>
        </is>
      </c>
      <c r="E22" s="209" t="inlineStr">
        <is>
          <t>-3pp</t>
        </is>
      </c>
      <c r="F22" s="209" t="inlineStr">
        <is>
          <t>44%</t>
        </is>
      </c>
      <c r="G22" s="209" t="inlineStr">
        <is>
          <t>41%</t>
        </is>
      </c>
      <c r="H22" s="209" t="inlineStr">
        <is>
          <t>⚠️观望</t>
        </is>
      </c>
    </row>
    <row r="23" ht="16.5" customHeight="1" s="172">
      <c r="A23" s="209" t="inlineStr">
        <is>
          <t>电池018926</t>
        </is>
      </c>
      <c r="B23" s="209" t="inlineStr">
        <is>
          <t>0pp 无关联</t>
        </is>
      </c>
      <c r="C23" s="209" t="inlineStr">
        <is>
          <t>0pp 无直接关联</t>
        </is>
      </c>
      <c r="D23" s="209" t="inlineStr">
        <is>
          <t>0pp 无影响</t>
        </is>
      </c>
      <c r="E23" s="209" t="inlineStr">
        <is>
          <t>0pp</t>
        </is>
      </c>
      <c r="F23" s="209" t="inlineStr">
        <is>
          <t>65%</t>
        </is>
      </c>
      <c r="G23" s="209" t="inlineStr">
        <is>
          <t>65%</t>
        </is>
      </c>
      <c r="H23" s="209" t="inlineStr">
        <is>
          <t>✅持有</t>
        </is>
      </c>
    </row>
    <row r="24" ht="16.5" customHeight="1" s="172">
      <c r="A24" s="209" t="inlineStr">
        <is>
          <t>养殖014415</t>
        </is>
      </c>
      <c r="B24" s="209" t="inlineStr">
        <is>
          <t>0pp 无关联</t>
        </is>
      </c>
      <c r="C24" s="209" t="inlineStr">
        <is>
          <t>0pp 无直接关联</t>
        </is>
      </c>
      <c r="D24" s="209" t="inlineStr">
        <is>
          <t>0pp 无影响</t>
        </is>
      </c>
      <c r="E24" s="209" t="inlineStr">
        <is>
          <t>0pp</t>
        </is>
      </c>
      <c r="F24" s="209" t="inlineStr">
        <is>
          <t>70%</t>
        </is>
      </c>
      <c r="G24" s="209" t="inlineStr">
        <is>
          <t>70%</t>
        </is>
      </c>
      <c r="H24" s="209" t="inlineStr">
        <is>
          <t>✅持有</t>
        </is>
      </c>
    </row>
    <row r="25" ht="16.5" customHeight="1" s="172">
      <c r="A25" s="209" t="inlineStr">
        <is>
          <t>有色004433</t>
        </is>
      </c>
      <c r="B25" s="209" t="inlineStr">
        <is>
          <t>0pp 无关联</t>
        </is>
      </c>
      <c r="C25" s="209" t="inlineStr">
        <is>
          <t>0pp 无直接关联</t>
        </is>
      </c>
      <c r="D25" s="209" t="inlineStr">
        <is>
          <t>-1pp 美股熊传导</t>
        </is>
      </c>
      <c r="E25" s="209" t="inlineStr">
        <is>
          <t>-1pp</t>
        </is>
      </c>
      <c r="F25" s="209" t="inlineStr">
        <is>
          <t>39%</t>
        </is>
      </c>
      <c r="G25" s="209" t="inlineStr">
        <is>
          <t>38%</t>
        </is>
      </c>
      <c r="H25" s="209" t="inlineStr">
        <is>
          <t>⚠️观望</t>
        </is>
      </c>
    </row>
    <row r="26" ht="16.5" customHeight="1" s="172">
      <c r="A26" s="209" t="inlineStr">
        <is>
          <t>堆叠(长电/通富)</t>
        </is>
      </c>
      <c r="B26" s="209" t="inlineStr">
        <is>
          <t>0pp 国内产业</t>
        </is>
      </c>
      <c r="C26" s="209" t="inlineStr">
        <is>
          <t>0pp 技术不会失败</t>
        </is>
      </c>
      <c r="D26" s="209" t="inlineStr">
        <is>
          <t>0pp 国内确定性</t>
        </is>
      </c>
      <c r="E26" s="209" t="inlineStr">
        <is>
          <t>0pp</t>
        </is>
      </c>
      <c r="F26" s="209" t="inlineStr">
        <is>
          <t>75%</t>
        </is>
      </c>
      <c r="G26" s="209" t="inlineStr">
        <is>
          <t>75%</t>
        </is>
      </c>
      <c r="H26" s="209" t="inlineStr">
        <is>
          <t>🔴重点</t>
        </is>
      </c>
    </row>
    <row r="29" ht="18" customHeight="1" s="172">
      <c r="A29" s="232" t="inlineStr">
        <is>
          <t>四、🔥 核心结论（三源联动+你的策略）</t>
        </is>
      </c>
    </row>
    <row r="30" ht="48" customHeight="1" s="172">
      <c r="A30" s="209" t="inlineStr">
        <is>
          <t>1</t>
        </is>
      </c>
      <c r="B30" s="209" t="inlineStr">
        <is>
          <t>三源共识：AI龙头估值偏高，市场极度集中</t>
        </is>
      </c>
      <c r="C30" s="209" t="inlineStr">
        <is>
          <t>达利欧+李大霄互相印证，知乎看估值中值但忽略集中度风险</t>
        </is>
      </c>
      <c r="D30" s="283" t="inlineStr">
        <is>
          <t>🔴 高置信度</t>
        </is>
      </c>
    </row>
    <row r="31" ht="48" customHeight="1" s="172">
      <c r="A31" s="209" t="inlineStr">
        <is>
          <t>2</t>
        </is>
      </c>
      <c r="B31" s="209" t="inlineStr">
        <is>
          <t>你的策略完全正确：等中期选举大跌=现金入场时机</t>
        </is>
      </c>
      <c r="C31" s="209" t="inlineStr">
        <is>
          <t>达利欧说"技术不会失败"+你说"中期选举跌一波"=回调后大仓位进</t>
        </is>
      </c>
      <c r="D31" s="281" t="inlineStr">
        <is>
          <t>🟢 高置信度</t>
        </is>
      </c>
    </row>
    <row r="32" ht="48" customHeight="1" s="172">
      <c r="A32" s="209" t="inlineStr">
        <is>
          <t>3</t>
        </is>
      </c>
      <c r="B32" s="209" t="inlineStr">
        <is>
          <t>堆叠/先进封装不受美股泡沫影响</t>
        </is>
      </c>
      <c r="C32" s="209" t="inlineStr">
        <is>
          <t>国内确定性产业趋势，三源都未提及国内封测，长电/通富安全边际大</t>
        </is>
      </c>
      <c r="D32" s="281" t="inlineStr">
        <is>
          <t>🟢 高置信度</t>
        </is>
      </c>
    </row>
    <row r="33" ht="48" customHeight="1" s="172">
      <c r="A33" s="209" t="inlineStr">
        <is>
          <t>4</t>
        </is>
      </c>
      <c r="B33" s="209" t="inlineStr">
        <is>
          <t>恒科/芯片短期承压，但不影响长期逻辑</t>
        </is>
      </c>
      <c r="C33" s="209" t="inlineStr">
        <is>
          <t>窄牛宽熊是美股现象，港股科技受情绪传导，国内AI基建不受影响</t>
        </is>
      </c>
      <c r="D33" s="282" t="inlineStr">
        <is>
          <t>🟡 中置信度</t>
        </is>
      </c>
    </row>
    <row r="34" ht="48" customHeight="1" s="172">
      <c r="A34" s="209" t="inlineStr">
        <is>
          <t>5</t>
        </is>
      </c>
      <c r="B34" s="209" t="inlineStr">
        <is>
          <t>现金为王，等信号</t>
        </is>
      </c>
      <c r="C34" s="209" t="inlineStr">
        <is>
          <t>三源都指向短期风险&gt;机会，你的中期选举策略=等65-75%概率的回调</t>
        </is>
      </c>
      <c r="D34" s="281" t="inlineStr">
        <is>
          <t>🟢 高置信度</t>
        </is>
      </c>
    </row>
    <row r="37" ht="38.25" customHeight="1" s="172">
      <c r="A37" s="28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1" min="1" max="1"/>
    <col width="12" customWidth="1" style="171" min="2" max="8"/>
  </cols>
  <sheetData>
    <row r="1" ht="17.25" customHeight="1" s="172">
      <c r="A1" s="199" t="inlineStr">
        <is>
          <t>📊 基金数据联动分析</t>
        </is>
      </c>
    </row>
    <row r="2" ht="15" customHeight="1" s="172">
      <c r="A2" s="285" t="inlineStr">
        <is>
          <t>数据日期: 2026-06-04 | 数据来源: 新浪K线API</t>
        </is>
      </c>
    </row>
    <row r="4" ht="16.5" customHeight="1" s="172">
      <c r="A4" s="286" t="inlineStr">
        <is>
          <t>持仓名称</t>
        </is>
      </c>
      <c r="B4" s="286" t="inlineStr">
        <is>
          <t>基金代码</t>
        </is>
      </c>
      <c r="C4" s="286" t="inlineStr">
        <is>
          <t>最新价</t>
        </is>
      </c>
      <c r="D4" s="286" t="inlineStr">
        <is>
          <t>今日涨跌%</t>
        </is>
      </c>
      <c r="E4" s="286" t="inlineStr">
        <is>
          <t>5日涨跌%</t>
        </is>
      </c>
      <c r="F4" s="286" t="inlineStr">
        <is>
          <t>20日涨跌%</t>
        </is>
      </c>
      <c r="G4" s="286" t="inlineStr">
        <is>
          <t>年化波动率%</t>
        </is>
      </c>
      <c r="H4" s="286" t="inlineStr">
        <is>
          <t>P值</t>
        </is>
      </c>
    </row>
    <row r="5" ht="16.5" customHeight="1" s="172">
      <c r="A5" s="271" t="inlineStr">
        <is>
          <t>电池ETF</t>
        </is>
      </c>
      <c r="B5" s="271" t="inlineStr">
        <is>
          <t>159147</t>
        </is>
      </c>
      <c r="C5" s="271" t="n">
        <v>1.043</v>
      </c>
      <c r="D5" s="287" t="n">
        <v>-2.07</v>
      </c>
      <c r="E5" s="287" t="n">
        <v>-3.96</v>
      </c>
      <c r="F5" s="287" t="n">
        <v>-8.109999999999999</v>
      </c>
      <c r="G5" s="271" t="n">
        <v>32.7</v>
      </c>
      <c r="H5" s="271" t="inlineStr">
        <is>
          <t>N/A</t>
        </is>
      </c>
    </row>
    <row r="6" ht="16.5" customHeight="1" s="172">
      <c r="A6" s="271" t="inlineStr">
        <is>
          <t>畜牧养殖ETF</t>
        </is>
      </c>
      <c r="B6" s="271" t="inlineStr">
        <is>
          <t>512450</t>
        </is>
      </c>
      <c r="C6" s="271" t="n">
        <v>0.846</v>
      </c>
      <c r="D6" s="287" t="n">
        <v>-2.65</v>
      </c>
      <c r="E6" s="287" t="n">
        <v>-4.62</v>
      </c>
      <c r="F6" s="287" t="n">
        <v>-14.29</v>
      </c>
      <c r="G6" s="271" t="n">
        <v>21.5</v>
      </c>
      <c r="H6" s="271" t="inlineStr">
        <is>
          <t>N/A</t>
        </is>
      </c>
    </row>
    <row r="7" ht="16.5" customHeight="1" s="172">
      <c r="A7" s="271" t="inlineStr">
        <is>
          <t>芯片ETF</t>
        </is>
      </c>
      <c r="B7" s="271" t="inlineStr">
        <is>
          <t>159995</t>
        </is>
      </c>
      <c r="C7" s="271" t="n">
        <v>2.53</v>
      </c>
      <c r="D7" s="288" t="n">
        <v>1.89</v>
      </c>
      <c r="E7" s="288" t="n">
        <v>1.57</v>
      </c>
      <c r="F7" s="288" t="n">
        <v>16.43</v>
      </c>
      <c r="G7" s="271" t="n">
        <v>46</v>
      </c>
      <c r="H7" s="271" t="inlineStr">
        <is>
          <t>N/A</t>
        </is>
      </c>
    </row>
    <row r="8" ht="16.5" customHeight="1" s="172">
      <c r="A8" s="271" t="inlineStr">
        <is>
          <t>恒生科技ETF</t>
        </is>
      </c>
      <c r="B8" s="271" t="inlineStr">
        <is>
          <t>513180</t>
        </is>
      </c>
      <c r="C8" s="271" t="n">
        <v>0.631</v>
      </c>
      <c r="D8" s="287" t="n">
        <v>-1.56</v>
      </c>
      <c r="E8" s="288" t="n">
        <v>1.77</v>
      </c>
      <c r="F8" s="287" t="n">
        <v>-3.37</v>
      </c>
      <c r="G8" s="271" t="n">
        <v>27.5</v>
      </c>
      <c r="H8" s="271" t="inlineStr">
        <is>
          <t>N/A</t>
        </is>
      </c>
    </row>
    <row r="9" ht="16.5" customHeight="1" s="172">
      <c r="A9" s="271" t="inlineStr">
        <is>
          <t>黄金ETF</t>
        </is>
      </c>
      <c r="B9" s="271" t="inlineStr">
        <is>
          <t>518880</t>
        </is>
      </c>
      <c r="C9" s="271" t="n">
        <v>9.289999999999999</v>
      </c>
      <c r="D9" s="288" t="n">
        <v>0.1</v>
      </c>
      <c r="E9" s="287" t="n">
        <v>-1.14</v>
      </c>
      <c r="F9" s="287" t="n">
        <v>-5.97</v>
      </c>
      <c r="G9" s="271" t="n">
        <v>31.3</v>
      </c>
      <c r="H9" s="271" t="inlineStr">
        <is>
          <t>N/A</t>
        </is>
      </c>
    </row>
    <row r="10" ht="16.5" customHeight="1" s="172">
      <c r="A10" s="271" t="inlineStr">
        <is>
          <t>银行ETF</t>
        </is>
      </c>
      <c r="B10" s="271" t="inlineStr">
        <is>
          <t>512800</t>
        </is>
      </c>
      <c r="C10" s="271" t="n">
        <v>0.774</v>
      </c>
      <c r="D10" s="287" t="n">
        <v>-1.15</v>
      </c>
      <c r="E10" s="287" t="n">
        <v>-0.26</v>
      </c>
      <c r="F10" s="287" t="n">
        <v>-1.4</v>
      </c>
      <c r="G10" s="271" t="n">
        <v>13.3</v>
      </c>
      <c r="H10" s="271" t="inlineStr">
        <is>
          <t>N/A</t>
        </is>
      </c>
    </row>
    <row r="11" ht="16.5" customHeight="1" s="172">
      <c r="A11" s="271" t="inlineStr">
        <is>
          <t>有色金属ETF</t>
        </is>
      </c>
      <c r="B11" s="271" t="inlineStr">
        <is>
          <t>512400</t>
        </is>
      </c>
      <c r="C11" s="271" t="n">
        <v>1.97</v>
      </c>
      <c r="D11" s="287" t="n">
        <v>-3.05</v>
      </c>
      <c r="E11" s="288" t="n">
        <v>0.25</v>
      </c>
      <c r="F11" s="287" t="n">
        <v>-10.7</v>
      </c>
      <c r="G11" s="271" t="n">
        <v>39.2</v>
      </c>
      <c r="H11" s="271" t="inlineStr">
        <is>
          <t>N/A</t>
        </is>
      </c>
    </row>
    <row r="13" ht="18" customHeight="1" s="172">
      <c r="A13" s="229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1" min="1" max="1"/>
    <col width="10" customWidth="1" style="171" min="2" max="2"/>
    <col width="12" customWidth="1" style="171" min="3" max="3"/>
    <col width="14" customWidth="1" style="171" min="4" max="4"/>
    <col width="12" customWidth="1" style="171" min="5" max="5"/>
    <col width="8" customWidth="1" style="171" min="6" max="6"/>
    <col width="10" customWidth="1" style="171" min="7" max="7"/>
    <col width="45" customWidth="1" style="171" min="8" max="8"/>
  </cols>
  <sheetData>
    <row r="1" ht="21" customHeight="1" s="172">
      <c r="A1" s="279" t="inlineStr">
        <is>
          <t>📊 持仓盈亏联动分析 (数据日期: 2026-06-05)</t>
        </is>
      </c>
    </row>
    <row r="3" ht="16.5" customHeight="1" s="172">
      <c r="A3" s="289" t="inlineStr">
        <is>
          <t>持仓</t>
        </is>
      </c>
      <c r="B3" s="289" t="inlineStr">
        <is>
          <t>代码</t>
        </is>
      </c>
      <c r="C3" s="289" t="inlineStr">
        <is>
          <t>市值(元)</t>
        </is>
      </c>
      <c r="D3" s="289" t="inlineStr">
        <is>
          <t>持有盈亏(元)</t>
        </is>
      </c>
      <c r="E3" s="289" t="inlineStr">
        <is>
          <t>持有收益率</t>
        </is>
      </c>
      <c r="F3" s="289" t="inlineStr">
        <is>
          <t>P值</t>
        </is>
      </c>
      <c r="G3" s="289" t="inlineStr">
        <is>
          <t>拟合分</t>
        </is>
      </c>
      <c r="H3" s="289" t="inlineStr">
        <is>
          <t>联动信号</t>
        </is>
      </c>
    </row>
    <row r="4" ht="16.5" customHeight="1" s="172">
      <c r="A4" s="221" t="inlineStr">
        <is>
          <t>芯片</t>
        </is>
      </c>
      <c r="B4" s="221" t="inlineStr">
        <is>
          <t>020628</t>
        </is>
      </c>
      <c r="C4" s="221" t="n">
        <v>3332.04</v>
      </c>
      <c r="D4" s="290" t="n">
        <v>125.91</v>
      </c>
      <c r="E4" s="221" t="inlineStr">
        <is>
          <t>+3.93%</t>
        </is>
      </c>
      <c r="F4" s="221" t="inlineStr">
        <is>
          <t>N/A</t>
        </is>
      </c>
      <c r="G4" s="221" t="inlineStr">
        <is>
          <t>N/A</t>
        </is>
      </c>
      <c r="H4" s="224" t="inlineStr">
        <is>
          <t>📉今日亏161元(-4.6%)</t>
        </is>
      </c>
    </row>
    <row r="5" ht="16.5" customHeight="1" s="172">
      <c r="A5" s="221" t="inlineStr">
        <is>
          <t>电池</t>
        </is>
      </c>
      <c r="B5" s="221" t="inlineStr">
        <is>
          <t>018926</t>
        </is>
      </c>
      <c r="C5" s="221" t="n">
        <v>7220.04</v>
      </c>
      <c r="D5" s="290" t="n">
        <v>409.53</v>
      </c>
      <c r="E5" s="221" t="inlineStr">
        <is>
          <t>+6.01%</t>
        </is>
      </c>
      <c r="F5" s="221" t="inlineStr">
        <is>
          <t>N/A</t>
        </is>
      </c>
      <c r="G5" s="221" t="inlineStr">
        <is>
          <t>N/A</t>
        </is>
      </c>
      <c r="H5" s="224" t="inlineStr">
        <is>
          <t>📉今日亏134元(-1.8%)</t>
        </is>
      </c>
    </row>
    <row r="6" ht="16.5" customHeight="1" s="172">
      <c r="A6" s="221" t="inlineStr">
        <is>
          <t>恒科</t>
        </is>
      </c>
      <c r="B6" s="221" t="inlineStr">
        <is>
          <t>012349</t>
        </is>
      </c>
      <c r="C6" s="221" t="n">
        <v>4534.93</v>
      </c>
      <c r="D6" s="252" t="n">
        <v>-287.06</v>
      </c>
      <c r="E6" s="221" t="inlineStr">
        <is>
          <t>-5.95%</t>
        </is>
      </c>
      <c r="F6" s="221" t="inlineStr">
        <is>
          <t>N/A</t>
        </is>
      </c>
      <c r="G6" s="221" t="inlineStr">
        <is>
          <t>N/A</t>
        </is>
      </c>
      <c r="H6" s="224" t="inlineStr">
        <is>
          <t>📉今日亏82元(-1.8%)</t>
        </is>
      </c>
    </row>
    <row r="7" ht="16.5" customHeight="1" s="172">
      <c r="A7" s="221" t="inlineStr">
        <is>
          <t>养殖</t>
        </is>
      </c>
      <c r="B7" s="221" t="inlineStr">
        <is>
          <t>014415</t>
        </is>
      </c>
      <c r="C7" s="221" t="n">
        <v>3878.08</v>
      </c>
      <c r="D7" s="252" t="n">
        <v>-553.58</v>
      </c>
      <c r="E7" s="221" t="inlineStr">
        <is>
          <t>-12.49%</t>
        </is>
      </c>
      <c r="F7" s="221" t="inlineStr">
        <is>
          <t>N/A</t>
        </is>
      </c>
      <c r="G7" s="221" t="inlineStr">
        <is>
          <t>N/A</t>
        </is>
      </c>
      <c r="H7" s="224" t="inlineStr">
        <is>
          <t>无显著信号</t>
        </is>
      </c>
    </row>
    <row r="8" ht="16.5" customHeight="1" s="172">
      <c r="A8" s="221" t="inlineStr">
        <is>
          <t>有色</t>
        </is>
      </c>
      <c r="B8" s="221" t="inlineStr">
        <is>
          <t>004433</t>
        </is>
      </c>
      <c r="C8" s="221" t="n">
        <v>4780.52</v>
      </c>
      <c r="D8" s="252" t="n">
        <v>-19.48</v>
      </c>
      <c r="E8" s="221" t="inlineStr">
        <is>
          <t>-0.41%</t>
        </is>
      </c>
      <c r="F8" s="221" t="inlineStr">
        <is>
          <t>N/A</t>
        </is>
      </c>
      <c r="G8" s="221" t="inlineStr">
        <is>
          <t>N/A</t>
        </is>
      </c>
      <c r="H8" s="224" t="inlineStr">
        <is>
          <t>📉今日亏99元(-2.0%)</t>
        </is>
      </c>
    </row>
    <row r="9" ht="16.5" customHeight="1" s="172">
      <c r="A9" s="221" t="inlineStr">
        <is>
          <t>稀金</t>
        </is>
      </c>
      <c r="B9" s="221" t="inlineStr">
        <is>
          <t>014111</t>
        </is>
      </c>
      <c r="C9" s="221" t="n">
        <v>5871.55</v>
      </c>
      <c r="D9" s="290" t="n">
        <v>49.26</v>
      </c>
      <c r="E9" s="221" t="inlineStr">
        <is>
          <t>+0.85%</t>
        </is>
      </c>
      <c r="F9" s="221" t="inlineStr">
        <is>
          <t>N/A</t>
        </is>
      </c>
      <c r="G9" s="221" t="inlineStr">
        <is>
          <t>N/A</t>
        </is>
      </c>
      <c r="H9" s="224" t="inlineStr">
        <is>
          <t>📉今日亏70元(-1.2%)</t>
        </is>
      </c>
    </row>
    <row r="10" ht="16.5" customHeight="1" s="172">
      <c r="A10" s="221" t="inlineStr">
        <is>
          <t>银行</t>
        </is>
      </c>
      <c r="B10" s="221" t="inlineStr">
        <is>
          <t>001595</t>
        </is>
      </c>
      <c r="C10" s="221" t="n">
        <v>0</v>
      </c>
      <c r="D10" s="221" t="n">
        <v>0</v>
      </c>
      <c r="E10" s="221" t="inlineStr">
        <is>
          <t>+0.00%</t>
        </is>
      </c>
      <c r="F10" s="221" t="inlineStr">
        <is>
          <t>N/A</t>
        </is>
      </c>
      <c r="G10" s="221" t="inlineStr">
        <is>
          <t>N/A</t>
        </is>
      </c>
      <c r="H10" s="224" t="inlineStr">
        <is>
          <t>无显著信号</t>
        </is>
      </c>
    </row>
    <row r="11" ht="16.5" customHeight="1" s="172">
      <c r="A11" s="221" t="inlineStr">
        <is>
          <t>AI</t>
        </is>
      </c>
      <c r="B11" s="221" t="inlineStr">
        <is>
          <t>027048</t>
        </is>
      </c>
      <c r="C11" s="221" t="n">
        <v>98.75</v>
      </c>
      <c r="D11" s="252" t="n">
        <v>-2.25</v>
      </c>
      <c r="E11" s="221" t="inlineStr">
        <is>
          <t>-2.23%</t>
        </is>
      </c>
      <c r="F11" s="221" t="inlineStr">
        <is>
          <t>N/A</t>
        </is>
      </c>
      <c r="G11" s="221" t="inlineStr">
        <is>
          <t>N/A</t>
        </is>
      </c>
      <c r="H11" s="224" t="inlineStr">
        <is>
          <t>无显著信号</t>
        </is>
      </c>
    </row>
    <row r="12" ht="16.5" customHeight="1" s="172">
      <c r="A12" s="291" t="inlineStr">
        <is>
          <t>汇总</t>
        </is>
      </c>
      <c r="C12" s="291" t="n">
        <v>29715.91</v>
      </c>
      <c r="D12" s="291" t="n">
        <v>-277.67</v>
      </c>
      <c r="H12" s="22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1" min="1" max="9"/>
  </cols>
  <sheetData>
    <row r="1" ht="21" customHeight="1" s="172">
      <c r="A1" s="199" t="inlineStr">
        <is>
          <t>🔀 跨品种事件传导与P值校准分析 (2026-06-05)</t>
        </is>
      </c>
    </row>
    <row r="3" ht="15" customHeight="1" s="172">
      <c r="A3" s="229" t="inlineStr">
        <is>
          <t>一、持仓全景</t>
        </is>
      </c>
    </row>
    <row r="4" ht="16.5" customHeight="1" s="172">
      <c r="A4" s="292" t="inlineStr">
        <is>
          <t>持仓</t>
        </is>
      </c>
      <c r="B4" s="292" t="inlineStr">
        <is>
          <t>P值</t>
        </is>
      </c>
      <c r="C4" s="292" t="inlineStr">
        <is>
          <t>事件PP</t>
        </is>
      </c>
      <c r="D4" s="292" t="inlineStr">
        <is>
          <t>拟合分</t>
        </is>
      </c>
      <c r="E4" s="292" t="inlineStr">
        <is>
          <t>今日涨跌%</t>
        </is>
      </c>
      <c r="F4" s="292" t="inlineStr">
        <is>
          <t>20日涨跌%</t>
        </is>
      </c>
      <c r="G4" s="292" t="inlineStr">
        <is>
          <t>持有收益率</t>
        </is>
      </c>
      <c r="H4" s="292" t="inlineStr">
        <is>
          <t>诊断</t>
        </is>
      </c>
    </row>
    <row r="5" ht="16.5" customHeight="1" s="172">
      <c r="A5" s="221" t="inlineStr">
        <is>
          <t>芯片</t>
        </is>
      </c>
      <c r="B5" s="221" t="inlineStr">
        <is>
          <t>41%</t>
        </is>
      </c>
      <c r="C5" s="221" t="inlineStr">
        <is>
          <t>-4pp</t>
        </is>
      </c>
      <c r="D5" s="221" t="inlineStr">
        <is>
          <t>0分</t>
        </is>
      </c>
      <c r="E5" s="221" t="inlineStr">
        <is>
          <t>+1.9%</t>
        </is>
      </c>
      <c r="F5" s="221" t="inlineStr">
        <is>
          <t>+16.4%</t>
        </is>
      </c>
      <c r="G5" s="221" t="inlineStr">
        <is>
          <t>+3.9%</t>
        </is>
      </c>
      <c r="H5" s="221" t="inlineStr">
        <is>
          <t>漏正向; 拟合失效</t>
        </is>
      </c>
    </row>
    <row r="6" ht="16.5" customHeight="1" s="172">
      <c r="A6" s="221" t="inlineStr">
        <is>
          <t>电池</t>
        </is>
      </c>
      <c r="B6" s="221" t="inlineStr">
        <is>
          <t>65%</t>
        </is>
      </c>
      <c r="C6" s="221" t="inlineStr">
        <is>
          <t>+23pp</t>
        </is>
      </c>
      <c r="D6" s="221" t="inlineStr">
        <is>
          <t>97分</t>
        </is>
      </c>
      <c r="E6" s="221" t="inlineStr">
        <is>
          <t>-2.1%</t>
        </is>
      </c>
      <c r="F6" s="221" t="inlineStr">
        <is>
          <t>-8.1%</t>
        </is>
      </c>
      <c r="G6" s="221" t="inlineStr">
        <is>
          <t>+6.0%</t>
        </is>
      </c>
      <c r="H6" s="221" t="inlineStr">
        <is>
          <t>方向一致</t>
        </is>
      </c>
    </row>
    <row r="7" ht="16.5" customHeight="1" s="172">
      <c r="A7" s="221" t="inlineStr">
        <is>
          <t>恒科</t>
        </is>
      </c>
      <c r="B7" s="221" t="inlineStr">
        <is>
          <t>27%</t>
        </is>
      </c>
      <c r="C7" s="221" t="inlineStr">
        <is>
          <t>-16pp</t>
        </is>
      </c>
      <c r="D7" s="221" t="inlineStr">
        <is>
          <t>75分</t>
        </is>
      </c>
      <c r="E7" s="221" t="inlineStr">
        <is>
          <t>-1.6%</t>
        </is>
      </c>
      <c r="F7" s="221" t="inlineStr">
        <is>
          <t>-3.4%</t>
        </is>
      </c>
      <c r="G7" s="221" t="inlineStr">
        <is>
          <t>-6.0%</t>
        </is>
      </c>
      <c r="H7" s="221" t="inlineStr">
        <is>
          <t>方向一致</t>
        </is>
      </c>
    </row>
    <row r="8" ht="16.5" customHeight="1" s="172">
      <c r="A8" s="221" t="inlineStr">
        <is>
          <t>养殖</t>
        </is>
      </c>
      <c r="B8" s="221" t="inlineStr">
        <is>
          <t>70%</t>
        </is>
      </c>
      <c r="C8" s="221" t="inlineStr">
        <is>
          <t>+15pp</t>
        </is>
      </c>
      <c r="D8" s="221" t="inlineStr">
        <is>
          <t>95分</t>
        </is>
      </c>
      <c r="E8" s="221" t="inlineStr">
        <is>
          <t>-2.6%</t>
        </is>
      </c>
      <c r="F8" s="221" t="inlineStr">
        <is>
          <t>-14.3%</t>
        </is>
      </c>
      <c r="G8" s="221" t="inlineStr">
        <is>
          <t>-12.5%</t>
        </is>
      </c>
      <c r="H8" s="221" t="inlineStr">
        <is>
          <t>虚P偏高</t>
        </is>
      </c>
    </row>
    <row r="9" ht="16.5" customHeight="1" s="172">
      <c r="A9" s="221" t="inlineStr">
        <is>
          <t>有色</t>
        </is>
      </c>
      <c r="B9" s="221" t="inlineStr">
        <is>
          <t>39%</t>
        </is>
      </c>
      <c r="C9" s="221" t="inlineStr">
        <is>
          <t>-11pp</t>
        </is>
      </c>
      <c r="D9" s="221" t="inlineStr">
        <is>
          <t>0分</t>
        </is>
      </c>
      <c r="E9" s="221" t="inlineStr">
        <is>
          <t>-3.0%</t>
        </is>
      </c>
      <c r="F9" s="221" t="inlineStr">
        <is>
          <t>-10.7%</t>
        </is>
      </c>
      <c r="G9" s="221" t="inlineStr">
        <is>
          <t>-0.4%</t>
        </is>
      </c>
      <c r="H9" s="221" t="inlineStr">
        <is>
          <t>拟合失效</t>
        </is>
      </c>
    </row>
    <row r="10" ht="16.5" customHeight="1" s="172">
      <c r="A10" s="221" t="inlineStr">
        <is>
          <t>稀金</t>
        </is>
      </c>
      <c r="B10" s="221" t="inlineStr">
        <is>
          <t>40%</t>
        </is>
      </c>
      <c r="C10" s="221" t="inlineStr">
        <is>
          <t>-10pp</t>
        </is>
      </c>
      <c r="D10" s="221" t="inlineStr">
        <is>
          <t>0分</t>
        </is>
      </c>
      <c r="E10" s="221" t="inlineStr">
        <is>
          <t>+0.0%</t>
        </is>
      </c>
      <c r="F10" s="221" t="inlineStr">
        <is>
          <t>+0.0%</t>
        </is>
      </c>
      <c r="G10" s="221" t="inlineStr">
        <is>
          <t>+0.8%</t>
        </is>
      </c>
      <c r="H10" s="221" t="inlineStr">
        <is>
          <t>拟合失效</t>
        </is>
      </c>
    </row>
    <row r="11" ht="16.5" customHeight="1" s="172">
      <c r="A11" s="221" t="inlineStr">
        <is>
          <t>银行</t>
        </is>
      </c>
      <c r="B11" s="221" t="inlineStr">
        <is>
          <t>47%</t>
        </is>
      </c>
      <c r="C11" s="221" t="inlineStr">
        <is>
          <t>-3pp</t>
        </is>
      </c>
      <c r="D11" s="221" t="inlineStr">
        <is>
          <t>53分</t>
        </is>
      </c>
      <c r="E11" s="221" t="inlineStr">
        <is>
          <t>-1.1%</t>
        </is>
      </c>
      <c r="F11" s="221" t="inlineStr">
        <is>
          <t>-1.4%</t>
        </is>
      </c>
      <c r="G11" s="221" t="inlineStr">
        <is>
          <t>+0.0%</t>
        </is>
      </c>
      <c r="H11" s="221" t="inlineStr">
        <is>
          <t>方向一致</t>
        </is>
      </c>
    </row>
    <row r="12" ht="16.5" customHeight="1" s="172">
      <c r="A12" s="221" t="inlineStr">
        <is>
          <t>黄金</t>
        </is>
      </c>
      <c r="B12" s="221" t="inlineStr">
        <is>
          <t>0%</t>
        </is>
      </c>
      <c r="C12" s="221" t="inlineStr">
        <is>
          <t>+0pp</t>
        </is>
      </c>
      <c r="D12" s="221" t="inlineStr">
        <is>
          <t>0分</t>
        </is>
      </c>
      <c r="E12" s="221" t="inlineStr">
        <is>
          <t>+0.1%</t>
        </is>
      </c>
      <c r="F12" s="221" t="inlineStr">
        <is>
          <t>-6.0%</t>
        </is>
      </c>
      <c r="G12" s="221" t="inlineStr">
        <is>
          <t>+0.0%</t>
        </is>
      </c>
      <c r="H12" s="221" t="inlineStr">
        <is>
          <t>拟合失效</t>
        </is>
      </c>
    </row>
    <row r="14" ht="15" customHeight="1" s="172">
      <c r="A14" s="229" t="inlineStr">
        <is>
          <t>二、事件传导矩阵</t>
        </is>
      </c>
    </row>
    <row r="15" ht="16.5" customHeight="1" s="172">
      <c r="A15" s="292" t="inlineStr">
        <is>
          <t>源头事件</t>
        </is>
      </c>
      <c r="B15" s="292" t="inlineStr">
        <is>
          <t>品种</t>
        </is>
      </c>
      <c r="C15" s="292" t="inlineStr">
        <is>
          <t>传导PP</t>
        </is>
      </c>
      <c r="D15" s="292" t="inlineStr">
        <is>
          <t>方向</t>
        </is>
      </c>
    </row>
    <row r="16" ht="16.5" customHeight="1" s="172">
      <c r="A16" s="221" t="inlineStr">
        <is>
          <t>AI/科技</t>
        </is>
      </c>
      <c r="B16" s="221" t="inlineStr">
        <is>
          <t>恒科</t>
        </is>
      </c>
      <c r="C16" s="221" t="inlineStr">
        <is>
          <t>-5pp</t>
        </is>
      </c>
      <c r="D16" s="221" t="inlineStr">
        <is>
          <t>⬇利空</t>
        </is>
      </c>
    </row>
    <row r="17" ht="15" customHeight="1" s="172">
      <c r="A17" s="221" t="n"/>
      <c r="B17" s="221" t="inlineStr">
        <is>
          <t>有色</t>
        </is>
      </c>
      <c r="C17" s="221" t="inlineStr">
        <is>
          <t>+2pp</t>
        </is>
      </c>
      <c r="D17" s="221" t="inlineStr">
        <is>
          <t>⬆利好</t>
        </is>
      </c>
    </row>
    <row r="18" ht="15" customHeight="1" s="172">
      <c r="A18" s="221" t="n"/>
      <c r="B18" s="221" t="inlineStr">
        <is>
          <t>芯片</t>
        </is>
      </c>
      <c r="C18" s="221" t="inlineStr">
        <is>
          <t>+5pp</t>
        </is>
      </c>
      <c r="D18" s="221" t="inlineStr">
        <is>
          <t>⬆利好</t>
        </is>
      </c>
    </row>
    <row r="19" ht="16.5" customHeight="1" s="172">
      <c r="A19" s="221" t="inlineStr">
        <is>
          <t>关税/贸易</t>
        </is>
      </c>
      <c r="B19" s="221" t="inlineStr">
        <is>
          <t>有色</t>
        </is>
      </c>
      <c r="C19" s="221" t="inlineStr">
        <is>
          <t>-5pp</t>
        </is>
      </c>
      <c r="D19" s="221" t="inlineStr">
        <is>
          <t>⬇利空</t>
        </is>
      </c>
    </row>
    <row r="20" ht="15" customHeight="1" s="172">
      <c r="A20" s="221" t="n"/>
      <c r="B20" s="221" t="inlineStr">
        <is>
          <t>稀金</t>
        </is>
      </c>
      <c r="C20" s="221" t="inlineStr">
        <is>
          <t>-3pp</t>
        </is>
      </c>
      <c r="D20" s="221" t="inlineStr">
        <is>
          <t>⬇利空</t>
        </is>
      </c>
    </row>
    <row r="21" ht="15" customHeight="1" s="172">
      <c r="A21" s="221" t="inlineStr">
        <is>
          <t>其他</t>
        </is>
      </c>
      <c r="B21" s="221" t="inlineStr">
        <is>
          <t>有色</t>
        </is>
      </c>
      <c r="C21" s="221" t="inlineStr">
        <is>
          <t>-8pp</t>
        </is>
      </c>
      <c r="D21" s="221" t="inlineStr">
        <is>
          <t>⬇利空</t>
        </is>
      </c>
    </row>
    <row r="22" ht="15" customHeight="1" s="172">
      <c r="A22" s="221" t="n"/>
      <c r="B22" s="221" t="inlineStr">
        <is>
          <t>稀金</t>
        </is>
      </c>
      <c r="C22" s="221" t="inlineStr">
        <is>
          <t>-5pp</t>
        </is>
      </c>
      <c r="D22" s="221" t="inlineStr">
        <is>
          <t>⬇利空</t>
        </is>
      </c>
    </row>
    <row r="23" ht="15" customHeight="1" s="172">
      <c r="A23" s="221" t="n"/>
      <c r="B23" s="221" t="inlineStr">
        <is>
          <t>恒科</t>
        </is>
      </c>
      <c r="C23" s="221" t="inlineStr">
        <is>
          <t>-4pp</t>
        </is>
      </c>
      <c r="D23" s="221" t="inlineStr">
        <is>
          <t>⬇利空</t>
        </is>
      </c>
    </row>
    <row r="24" ht="15" customHeight="1" s="172">
      <c r="A24" s="221" t="n"/>
      <c r="B24" s="221" t="inlineStr">
        <is>
          <t>芯片</t>
        </is>
      </c>
      <c r="C24" s="221" t="inlineStr">
        <is>
          <t>-2pp</t>
        </is>
      </c>
      <c r="D24" s="221" t="inlineStr">
        <is>
          <t>⬇利空</t>
        </is>
      </c>
    </row>
    <row r="25" ht="15" customHeight="1" s="172">
      <c r="A25" s="221" t="n"/>
      <c r="B25" s="221" t="inlineStr">
        <is>
          <t>电池</t>
        </is>
      </c>
      <c r="C25" s="221" t="inlineStr">
        <is>
          <t>+16pp</t>
        </is>
      </c>
      <c r="D25" s="221" t="inlineStr">
        <is>
          <t>⬆利好</t>
        </is>
      </c>
    </row>
    <row r="26" ht="15" customHeight="1" s="172">
      <c r="A26" s="221" t="inlineStr">
        <is>
          <t>利率上行</t>
        </is>
      </c>
      <c r="B26" s="221" t="inlineStr">
        <is>
          <t>芯片</t>
        </is>
      </c>
      <c r="C26" s="221" t="inlineStr">
        <is>
          <t>-8pp</t>
        </is>
      </c>
      <c r="D26" s="221" t="inlineStr">
        <is>
          <t>⬇利空</t>
        </is>
      </c>
    </row>
    <row r="27" ht="15" customHeight="1" s="172">
      <c r="A27" s="221" t="n"/>
      <c r="B27" s="221" t="inlineStr">
        <is>
          <t>恒科</t>
        </is>
      </c>
      <c r="C27" s="221" t="inlineStr">
        <is>
          <t>-7pp</t>
        </is>
      </c>
      <c r="D27" s="221" t="inlineStr">
        <is>
          <t>⬇利空</t>
        </is>
      </c>
    </row>
    <row r="28" ht="15" customHeight="1" s="172">
      <c r="A28" s="221" t="n"/>
      <c r="B28" s="221" t="inlineStr">
        <is>
          <t>稀金</t>
        </is>
      </c>
      <c r="C28" s="221" t="inlineStr">
        <is>
          <t>-3pp</t>
        </is>
      </c>
      <c r="D28" s="221" t="inlineStr">
        <is>
          <t>⬇利空</t>
        </is>
      </c>
    </row>
    <row r="29" ht="15" customHeight="1" s="172">
      <c r="A29" s="221" t="n"/>
      <c r="B29" s="221" t="inlineStr">
        <is>
          <t>银行</t>
        </is>
      </c>
      <c r="C29" s="221" t="inlineStr">
        <is>
          <t>-1pp</t>
        </is>
      </c>
      <c r="D29" s="221" t="inlineStr">
        <is>
          <t>⬇利空</t>
        </is>
      </c>
    </row>
    <row r="30" ht="15" customHeight="1" s="172">
      <c r="A30" s="221" t="n"/>
      <c r="B30" s="221" t="inlineStr">
        <is>
          <t>电池</t>
        </is>
      </c>
      <c r="C30" s="221" t="inlineStr">
        <is>
          <t>+1pp</t>
        </is>
      </c>
      <c r="D30" s="221" t="inlineStr">
        <is>
          <t>⬆利好</t>
        </is>
      </c>
    </row>
    <row r="31" ht="16.5" customHeight="1" s="172">
      <c r="A31" s="221" t="inlineStr">
        <is>
          <t>宏观/消费</t>
        </is>
      </c>
      <c r="B31" s="221" t="inlineStr">
        <is>
          <t>养殖</t>
        </is>
      </c>
      <c r="C31" s="221" t="inlineStr">
        <is>
          <t>-4pp</t>
        </is>
      </c>
      <c r="D31" s="221" t="inlineStr">
        <is>
          <t>⬇利空</t>
        </is>
      </c>
    </row>
    <row r="32" ht="15" customHeight="1" s="172">
      <c r="A32" s="221" t="n"/>
      <c r="B32" s="221" t="inlineStr">
        <is>
          <t>银行</t>
        </is>
      </c>
      <c r="C32" s="221" t="inlineStr">
        <is>
          <t>-2pp</t>
        </is>
      </c>
      <c r="D32" s="221" t="inlineStr">
        <is>
          <t>⬇利空</t>
        </is>
      </c>
    </row>
    <row r="33" ht="16.5" customHeight="1" s="172">
      <c r="A33" s="221" t="inlineStr">
        <is>
          <t>霍尔木兹/能源</t>
        </is>
      </c>
      <c r="B33" s="221" t="inlineStr">
        <is>
          <t>芯片</t>
        </is>
      </c>
      <c r="C33" s="221" t="inlineStr">
        <is>
          <t>+1pp</t>
        </is>
      </c>
      <c r="D33" s="221" t="inlineStr">
        <is>
          <t>⬆利好</t>
        </is>
      </c>
    </row>
    <row r="34" ht="15" customHeight="1" s="172">
      <c r="A34" s="221" t="n"/>
      <c r="B34" s="221" t="inlineStr">
        <is>
          <t>电池</t>
        </is>
      </c>
      <c r="C34" s="221" t="inlineStr">
        <is>
          <t>+6pp</t>
        </is>
      </c>
      <c r="D34" s="221" t="inlineStr">
        <is>
          <t>⬆利好</t>
        </is>
      </c>
    </row>
    <row r="35" ht="15" customHeight="1" s="172">
      <c r="A35" s="221" t="n"/>
      <c r="B35" s="221" t="inlineStr">
        <is>
          <t>养殖</t>
        </is>
      </c>
      <c r="C35" s="221" t="inlineStr">
        <is>
          <t>+9pp</t>
        </is>
      </c>
      <c r="D35" s="221" t="inlineStr">
        <is>
          <t>⬆利好</t>
        </is>
      </c>
    </row>
    <row r="37" ht="15" customHeight="1" s="172">
      <c r="A37" s="229" t="inlineStr">
        <is>
          <t>三、跨品种传导系数</t>
        </is>
      </c>
    </row>
    <row r="38" ht="15" customHeight="1" s="172">
      <c r="A38" s="292" t="inlineStr">
        <is>
          <t>品种</t>
        </is>
      </c>
      <c r="B38" s="292" t="inlineStr">
        <is>
          <t>芯片</t>
        </is>
      </c>
      <c r="C38" s="292" t="inlineStr">
        <is>
          <t>电池</t>
        </is>
      </c>
      <c r="D38" s="292" t="inlineStr">
        <is>
          <t>恒科</t>
        </is>
      </c>
      <c r="E38" s="292" t="inlineStr">
        <is>
          <t>养殖</t>
        </is>
      </c>
      <c r="F38" s="292" t="inlineStr">
        <is>
          <t>有色</t>
        </is>
      </c>
      <c r="G38" s="292" t="inlineStr">
        <is>
          <t>银行</t>
        </is>
      </c>
      <c r="H38" s="292" t="inlineStr">
        <is>
          <t>黄金</t>
        </is>
      </c>
    </row>
    <row r="39" ht="15" customHeight="1" s="172">
      <c r="A39" s="221" t="inlineStr">
        <is>
          <t>芯片</t>
        </is>
      </c>
      <c r="B39" s="221" t="inlineStr">
        <is>
          <t>自身</t>
        </is>
      </c>
    </row>
    <row r="40" ht="16.5" customHeight="1" s="172">
      <c r="C40" s="221" t="inlineStr">
        <is>
          <t>反向(3源)</t>
        </is>
      </c>
    </row>
    <row r="41" ht="16.5" customHeight="1" s="172">
      <c r="D41" s="221" t="inlineStr">
        <is>
          <t>同向(3源)</t>
        </is>
      </c>
    </row>
    <row r="42" ht="16.5" customHeight="1" s="172">
      <c r="E42" s="221" t="inlineStr">
        <is>
          <t>同向(1源)</t>
        </is>
      </c>
    </row>
    <row r="43" ht="16.5" customHeight="1" s="172">
      <c r="F43" s="221" t="inlineStr">
        <is>
          <t>反向(2源)</t>
        </is>
      </c>
    </row>
    <row r="44" ht="16.5" customHeight="1" s="172">
      <c r="G44" s="221" t="inlineStr">
        <is>
          <t>同向(1源)</t>
        </is>
      </c>
    </row>
    <row r="45" ht="15" customHeight="1" s="172">
      <c r="H45" s="221" t="inlineStr">
        <is>
          <t>无传导</t>
        </is>
      </c>
    </row>
    <row r="46" ht="16.5" customHeight="1" s="172">
      <c r="A46" s="221" t="inlineStr">
        <is>
          <t>电池</t>
        </is>
      </c>
      <c r="B46" s="221" t="inlineStr">
        <is>
          <t>反向(3源)</t>
        </is>
      </c>
    </row>
    <row r="47" ht="15" customHeight="1" s="172">
      <c r="C47" s="221" t="inlineStr">
        <is>
          <t>自身</t>
        </is>
      </c>
    </row>
    <row r="48" ht="16.5" customHeight="1" s="172">
      <c r="D48" s="221" t="inlineStr">
        <is>
          <t>反向(2源)</t>
        </is>
      </c>
    </row>
    <row r="49" ht="16.5" customHeight="1" s="172">
      <c r="E49" s="221" t="inlineStr">
        <is>
          <t>同向(1源)</t>
        </is>
      </c>
    </row>
    <row r="50" ht="16.5" customHeight="1" s="172">
      <c r="F50" s="221" t="inlineStr">
        <is>
          <t>反向(1源)</t>
        </is>
      </c>
    </row>
    <row r="51" ht="16.5" customHeight="1" s="172">
      <c r="G51" s="221" t="inlineStr">
        <is>
          <t>反向(1源)</t>
        </is>
      </c>
    </row>
    <row r="52" ht="15" customHeight="1" s="172">
      <c r="H52" s="221" t="inlineStr">
        <is>
          <t>无传导</t>
        </is>
      </c>
    </row>
    <row r="53" ht="16.5" customHeight="1" s="172">
      <c r="A53" s="221" t="inlineStr">
        <is>
          <t>恒科</t>
        </is>
      </c>
      <c r="B53" s="221" t="inlineStr">
        <is>
          <t>同向(3源)</t>
        </is>
      </c>
    </row>
    <row r="54" ht="16.5" customHeight="1" s="172">
      <c r="C54" s="221" t="inlineStr">
        <is>
          <t>反向(2源)</t>
        </is>
      </c>
    </row>
    <row r="55" ht="15" customHeight="1" s="172">
      <c r="D55" s="221" t="inlineStr">
        <is>
          <t>自身</t>
        </is>
      </c>
    </row>
    <row r="56" ht="15" customHeight="1" s="172">
      <c r="E56" s="221" t="inlineStr">
        <is>
          <t>无传导</t>
        </is>
      </c>
    </row>
    <row r="57" ht="16.5" customHeight="1" s="172">
      <c r="F57" s="221" t="inlineStr">
        <is>
          <t>同向(2源)</t>
        </is>
      </c>
    </row>
    <row r="58" ht="16.5" customHeight="1" s="172">
      <c r="G58" s="221" t="inlineStr">
        <is>
          <t>同向(1源)</t>
        </is>
      </c>
    </row>
    <row r="59" ht="15" customHeight="1" s="172">
      <c r="H59" s="221" t="inlineStr">
        <is>
          <t>无传导</t>
        </is>
      </c>
    </row>
    <row r="60" ht="16.5" customHeight="1" s="172">
      <c r="A60" s="221" t="inlineStr">
        <is>
          <t>养殖</t>
        </is>
      </c>
      <c r="B60" s="221" t="inlineStr">
        <is>
          <t>同向(1源)</t>
        </is>
      </c>
    </row>
    <row r="61" ht="16.5" customHeight="1" s="172">
      <c r="C61" s="221" t="inlineStr">
        <is>
          <t>同向(1源)</t>
        </is>
      </c>
    </row>
    <row r="62" ht="15" customHeight="1" s="172">
      <c r="D62" s="221" t="inlineStr">
        <is>
          <t>无传导</t>
        </is>
      </c>
    </row>
    <row r="63" ht="15" customHeight="1" s="172">
      <c r="E63" s="221" t="inlineStr">
        <is>
          <t>自身</t>
        </is>
      </c>
    </row>
    <row r="64" ht="15" customHeight="1" s="172">
      <c r="F64" s="221" t="inlineStr">
        <is>
          <t>无传导</t>
        </is>
      </c>
    </row>
    <row r="65" ht="16.5" customHeight="1" s="172">
      <c r="G65" s="221" t="inlineStr">
        <is>
          <t>同向(1源)</t>
        </is>
      </c>
    </row>
    <row r="66" ht="15" customHeight="1" s="172">
      <c r="H66" s="221" t="inlineStr">
        <is>
          <t>无传导</t>
        </is>
      </c>
    </row>
    <row r="67" ht="16.5" customHeight="1" s="172">
      <c r="A67" s="221" t="inlineStr">
        <is>
          <t>有色</t>
        </is>
      </c>
      <c r="B67" s="221" t="inlineStr">
        <is>
          <t>反向(2源)</t>
        </is>
      </c>
    </row>
    <row r="68" ht="16.5" customHeight="1" s="172">
      <c r="C68" s="221" t="inlineStr">
        <is>
          <t>反向(1源)</t>
        </is>
      </c>
    </row>
    <row r="69" ht="16.5" customHeight="1" s="172">
      <c r="D69" s="221" t="inlineStr">
        <is>
          <t>同向(2源)</t>
        </is>
      </c>
    </row>
    <row r="70" ht="15" customHeight="1" s="172">
      <c r="E70" s="221" t="inlineStr">
        <is>
          <t>无传导</t>
        </is>
      </c>
    </row>
    <row r="71" ht="15" customHeight="1" s="172">
      <c r="F71" s="221" t="inlineStr">
        <is>
          <t>自身</t>
        </is>
      </c>
    </row>
    <row r="72" ht="15" customHeight="1" s="172">
      <c r="G72" s="221" t="inlineStr">
        <is>
          <t>无传导</t>
        </is>
      </c>
    </row>
    <row r="73" ht="15" customHeight="1" s="172">
      <c r="H73" s="221" t="inlineStr">
        <is>
          <t>无传导</t>
        </is>
      </c>
    </row>
    <row r="74" ht="16.5" customHeight="1" s="172">
      <c r="A74" s="221" t="inlineStr">
        <is>
          <t>银行</t>
        </is>
      </c>
      <c r="B74" s="221" t="inlineStr">
        <is>
          <t>同向(1源)</t>
        </is>
      </c>
    </row>
    <row r="75" ht="16.5" customHeight="1" s="172">
      <c r="C75" s="221" t="inlineStr">
        <is>
          <t>反向(1源)</t>
        </is>
      </c>
    </row>
    <row r="76" ht="16.5" customHeight="1" s="172">
      <c r="D76" s="221" t="inlineStr">
        <is>
          <t>同向(1源)</t>
        </is>
      </c>
    </row>
    <row r="77" ht="16.5" customHeight="1" s="172">
      <c r="E77" s="221" t="inlineStr">
        <is>
          <t>同向(1源)</t>
        </is>
      </c>
    </row>
    <row r="78" ht="15" customHeight="1" s="172">
      <c r="F78" s="221" t="inlineStr">
        <is>
          <t>无传导</t>
        </is>
      </c>
    </row>
    <row r="79" ht="15" customHeight="1" s="172">
      <c r="G79" s="221" t="inlineStr">
        <is>
          <t>自身</t>
        </is>
      </c>
    </row>
    <row r="80" ht="15" customHeight="1" s="172">
      <c r="H80" s="221" t="inlineStr">
        <is>
          <t>无传导</t>
        </is>
      </c>
    </row>
    <row r="81" ht="15" customHeight="1" s="172">
      <c r="A81" s="221" t="inlineStr">
        <is>
          <t>黄金</t>
        </is>
      </c>
      <c r="B81" s="221" t="inlineStr">
        <is>
          <t>无传导</t>
        </is>
      </c>
    </row>
    <row r="82" ht="15" customHeight="1" s="172">
      <c r="C82" s="221" t="inlineStr">
        <is>
          <t>无传导</t>
        </is>
      </c>
    </row>
    <row r="83" ht="15" customHeight="1" s="172">
      <c r="D83" s="221" t="inlineStr">
        <is>
          <t>无传导</t>
        </is>
      </c>
    </row>
    <row r="84" ht="15" customHeight="1" s="172">
      <c r="E84" s="221" t="inlineStr">
        <is>
          <t>无传导</t>
        </is>
      </c>
    </row>
    <row r="85" ht="15" customHeight="1" s="172">
      <c r="F85" s="221" t="inlineStr">
        <is>
          <t>无传导</t>
        </is>
      </c>
    </row>
    <row r="86" ht="15" customHeight="1" s="172">
      <c r="G86" s="221" t="inlineStr">
        <is>
          <t>无传导</t>
        </is>
      </c>
    </row>
    <row r="87" ht="15" customHeight="1" s="172">
      <c r="H87" s="221" t="inlineStr">
        <is>
          <t>自身</t>
        </is>
      </c>
    </row>
    <row r="89" ht="18" customHeight="1" s="172">
      <c r="A89" s="229" t="inlineStr">
        <is>
          <t>四、P值修正建议</t>
        </is>
      </c>
    </row>
    <row r="90" ht="16.5" customHeight="1" s="172">
      <c r="A90" s="224" t="inlineStr">
        <is>
          <t>P=41% → 建议45% (存储→芯片资金传导+4pp)</t>
        </is>
      </c>
      <c r="B90" s="188" t="n"/>
      <c r="C90" s="188" t="n"/>
      <c r="D90" s="188" t="n"/>
      <c r="E90" s="188" t="n"/>
      <c r="F90" s="188" t="n"/>
      <c r="G90" s="188" t="n"/>
      <c r="H90" s="189" t="n"/>
    </row>
    <row r="91" ht="16.5" customHeight="1" s="172">
      <c r="A91" s="224" t="inlineStr">
        <is>
          <t>P=70% → 建议60-65% (持有亏12.5%→虚P偏高)</t>
        </is>
      </c>
      <c r="B91" s="188" t="n"/>
      <c r="C91" s="188" t="n"/>
      <c r="D91" s="188" t="n"/>
      <c r="E91" s="188" t="n"/>
      <c r="F91" s="188" t="n"/>
      <c r="G91" s="188" t="n"/>
      <c r="H91" s="189" t="n"/>
    </row>
    <row r="92" ht="16.5" customHeight="1" s="172">
      <c r="A92" s="224" t="inlineStr">
        <is>
          <t>P=39%维持 (事件链-11pp与价格-10.7%方向一致)</t>
        </is>
      </c>
      <c r="B92" s="188" t="n"/>
      <c r="C92" s="188" t="n"/>
      <c r="D92" s="188" t="n"/>
      <c r="E92" s="188" t="n"/>
      <c r="F92" s="188" t="n"/>
      <c r="G92" s="188" t="n"/>
      <c r="H92" s="189" t="n"/>
    </row>
    <row r="93" ht="16.5" customHeight="1" s="172">
      <c r="A93" s="224" t="inlineStr">
        <is>
          <t>P=65%维持 (拟合97分，方向正确)</t>
        </is>
      </c>
      <c r="B93" s="188" t="n"/>
      <c r="C93" s="188" t="n"/>
      <c r="D93" s="188" t="n"/>
      <c r="E93" s="188" t="n"/>
      <c r="F93" s="188" t="n"/>
      <c r="G93" s="188" t="n"/>
      <c r="H93" s="189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1" min="1" max="7"/>
  </cols>
  <sheetData>
    <row r="1" ht="21" customHeight="1" s="172">
      <c r="A1" s="199" t="inlineStr">
        <is>
          <t>🔬 贝叶斯信源校准分析 (2026-06-06)</t>
        </is>
      </c>
    </row>
    <row r="3" ht="15" customHeight="1" s="172">
      <c r="A3" s="229" t="inlineStr">
        <is>
          <t>一、方法论</t>
        </is>
      </c>
    </row>
    <row r="4" ht="16.5" customHeight="1" s="172">
      <c r="A4" s="182" t="inlineStr">
        <is>
          <t>1. 虚P事件不参与P值计算（传导机制问题，不是信源准确率问题）</t>
        </is>
      </c>
    </row>
    <row r="5" ht="16.5" customHeight="1" s="172">
      <c r="A5" s="182" t="inlineStr">
        <is>
          <t>2. 虚P事件不参与信源准确率评估（V4 Pro审核确认）</t>
        </is>
      </c>
    </row>
    <row r="6" ht="16.5" customHeight="1" s="172">
      <c r="A6" s="182" t="inlineStr">
        <is>
          <t>3. 信源权重用Beta(5,5)贝叶斯后验：weight = (correct+5)/(total+10)</t>
        </is>
      </c>
    </row>
    <row r="7" ht="16.5" customHeight="1" s="172">
      <c r="A7" s="182" t="inlineStr">
        <is>
          <t>4. 最小样本3条才开始校准，&lt;3条权重=1.0（不衰减）</t>
        </is>
      </c>
    </row>
    <row r="8" ht="16.5" customHeight="1" s="172">
      <c r="A8" s="182" t="inlineStr">
        <is>
          <t>5. 乘子 = 2×weight-1：&gt;0正向，&lt;0反向，=0忽略</t>
        </is>
      </c>
    </row>
    <row r="9" ht="16.5" customHeight="1" s="172">
      <c r="A9" s="182" t="inlineStr">
        <is>
          <t>6. 校准后P = 50% + Σ(pp_i × weight_i)（仅实P事件）</t>
        </is>
      </c>
    </row>
    <row r="10" ht="16.5" customHeight="1" s="172">
      <c r="A10" s="182" t="inlineStr">
        <is>
          <t>7. 当前状态：所有信源实P事件&lt;3条，权重校准暂未生效</t>
        </is>
      </c>
    </row>
    <row r="11" ht="16.5" customHeight="1" s="172">
      <c r="A11" s="182" t="inlineStr">
        <is>
          <t>8. 但当务之急：剔除虚P事件→P值立刻修正</t>
        </is>
      </c>
    </row>
    <row r="13" ht="18" customHeight="1" s="172">
      <c r="A13" s="229" t="inlineStr">
        <is>
          <t>二、虚P剔除对P值的直接影响</t>
        </is>
      </c>
    </row>
    <row r="14" ht="16.5" customHeight="1" s="172">
      <c r="A14" s="292" t="inlineStr">
        <is>
          <t>持仓</t>
        </is>
      </c>
      <c r="B14" s="292" t="inlineStr">
        <is>
          <t>原P值</t>
        </is>
      </c>
      <c r="C14" s="292" t="inlineStr">
        <is>
          <t>虚P贡献</t>
        </is>
      </c>
      <c r="D14" s="292" t="inlineStr">
        <is>
          <t>剔除后P</t>
        </is>
      </c>
      <c r="E14" s="292" t="inlineStr">
        <is>
          <t>调整</t>
        </is>
      </c>
      <c r="F14" s="292" t="inlineStr">
        <is>
          <t>持有收益率</t>
        </is>
      </c>
      <c r="G14" s="292" t="inlineStr">
        <is>
          <t>方向是否一致</t>
        </is>
      </c>
    </row>
    <row r="15" ht="16.5" customHeight="1" s="172">
      <c r="A15" s="221" t="inlineStr">
        <is>
          <t>芯片</t>
        </is>
      </c>
      <c r="B15" s="221" t="inlineStr">
        <is>
          <t>41%</t>
        </is>
      </c>
      <c r="C15" s="221" t="inlineStr">
        <is>
          <t>+2pp</t>
        </is>
      </c>
      <c r="D15" s="221" t="inlineStr">
        <is>
          <t>39%</t>
        </is>
      </c>
      <c r="E15" s="221" t="inlineStr">
        <is>
          <t>-2pp</t>
        </is>
      </c>
      <c r="F15" s="221" t="inlineStr">
        <is>
          <t>+3.93%</t>
        </is>
      </c>
      <c r="G15" s="221" t="inlineStr">
        <is>
          <t>拟合0分需更多数据</t>
        </is>
      </c>
    </row>
    <row r="16" ht="15" customHeight="1" s="172">
      <c r="A16" s="221" t="inlineStr">
        <is>
          <t>电池</t>
        </is>
      </c>
      <c r="B16" s="221" t="inlineStr">
        <is>
          <t>65%</t>
        </is>
      </c>
      <c r="C16" s="221" t="inlineStr">
        <is>
          <t>+0pp</t>
        </is>
      </c>
      <c r="D16" s="221" t="inlineStr">
        <is>
          <t>65%</t>
        </is>
      </c>
      <c r="E16" s="221" t="inlineStr">
        <is>
          <t>+0pp</t>
        </is>
      </c>
      <c r="F16" s="221" t="inlineStr">
        <is>
          <t>+6.01%</t>
        </is>
      </c>
      <c r="G16" s="221" t="inlineStr">
        <is>
          <t>✅ 方向一致</t>
        </is>
      </c>
    </row>
    <row r="17" ht="15" customHeight="1" s="172">
      <c r="A17" s="221" t="inlineStr">
        <is>
          <t>恒科</t>
        </is>
      </c>
      <c r="B17" s="221" t="inlineStr">
        <is>
          <t>27%</t>
        </is>
      </c>
      <c r="C17" s="221" t="inlineStr">
        <is>
          <t>+0pp</t>
        </is>
      </c>
      <c r="D17" s="221" t="inlineStr">
        <is>
          <t>27%</t>
        </is>
      </c>
      <c r="E17" s="221" t="inlineStr">
        <is>
          <t>+0pp</t>
        </is>
      </c>
      <c r="F17" s="221" t="inlineStr">
        <is>
          <t>-5.95%</t>
        </is>
      </c>
      <c r="G17" s="221" t="inlineStr">
        <is>
          <t>✅ 方向一致</t>
        </is>
      </c>
    </row>
    <row r="18" ht="16.5" customHeight="1" s="172">
      <c r="A18" s="221" t="inlineStr">
        <is>
          <t>养殖</t>
        </is>
      </c>
      <c r="B18" s="221" t="inlineStr">
        <is>
          <t>70%</t>
        </is>
      </c>
      <c r="C18" s="221" t="inlineStr">
        <is>
          <t>+4pp</t>
        </is>
      </c>
      <c r="D18" s="221" t="inlineStr">
        <is>
          <t>66%</t>
        </is>
      </c>
      <c r="E18" s="221" t="inlineStr">
        <is>
          <t>-4pp</t>
        </is>
      </c>
      <c r="F18" s="221" t="inlineStr">
        <is>
          <t>-12.49%</t>
        </is>
      </c>
      <c r="G18" s="293" t="inlineStr">
        <is>
          <t>❌ P=66%仍远高于实际→虚P外还有其他问题</t>
        </is>
      </c>
    </row>
    <row r="19" ht="15" customHeight="1" s="172">
      <c r="A19" s="221" t="inlineStr">
        <is>
          <t>有色</t>
        </is>
      </c>
      <c r="B19" s="221" t="inlineStr">
        <is>
          <t>39%</t>
        </is>
      </c>
      <c r="C19" s="221" t="inlineStr">
        <is>
          <t>+0pp</t>
        </is>
      </c>
      <c r="D19" s="221" t="inlineStr">
        <is>
          <t>39%</t>
        </is>
      </c>
      <c r="E19" s="221" t="inlineStr">
        <is>
          <t>+0pp</t>
        </is>
      </c>
      <c r="F19" s="221" t="inlineStr">
        <is>
          <t>-0.41%</t>
        </is>
      </c>
      <c r="G19" s="221" t="inlineStr">
        <is>
          <t>拟合不足</t>
        </is>
      </c>
    </row>
    <row r="20" ht="15" customHeight="1" s="172">
      <c r="A20" s="221" t="inlineStr">
        <is>
          <t>稀金</t>
        </is>
      </c>
      <c r="B20" s="221" t="inlineStr">
        <is>
          <t>40%</t>
        </is>
      </c>
      <c r="C20" s="221" t="inlineStr">
        <is>
          <t>+0pp</t>
        </is>
      </c>
      <c r="D20" s="221" t="inlineStr">
        <is>
          <t>40%</t>
        </is>
      </c>
      <c r="E20" s="221" t="inlineStr">
        <is>
          <t>+0pp</t>
        </is>
      </c>
      <c r="F20" s="221" t="inlineStr">
        <is>
          <t>+0.85%</t>
        </is>
      </c>
      <c r="G20" s="221" t="inlineStr">
        <is>
          <t>拟合不足</t>
        </is>
      </c>
    </row>
    <row r="21" ht="15" customHeight="1" s="172">
      <c r="A21" s="221" t="inlineStr">
        <is>
          <t>银行</t>
        </is>
      </c>
      <c r="B21" s="221" t="inlineStr">
        <is>
          <t>47%</t>
        </is>
      </c>
      <c r="C21" s="221" t="inlineStr">
        <is>
          <t>+2pp</t>
        </is>
      </c>
      <c r="D21" s="221" t="inlineStr">
        <is>
          <t>45%</t>
        </is>
      </c>
      <c r="E21" s="221" t="inlineStr">
        <is>
          <t>-2pp</t>
        </is>
      </c>
      <c r="F21" s="221" t="inlineStr">
        <is>
          <t>+0.00%</t>
        </is>
      </c>
      <c r="G21" s="221" t="inlineStr">
        <is>
          <t>监控仓</t>
        </is>
      </c>
    </row>
    <row r="23" ht="18" customHeight="1" s="172">
      <c r="A23" s="229" t="inlineStr">
        <is>
          <t>三、信源准确率统计（仅实P事件，待样本积累后校准）</t>
        </is>
      </c>
    </row>
    <row r="24" ht="16.5" customHeight="1" s="172">
      <c r="A24" s="292" t="inlineStr">
        <is>
          <t>信源</t>
        </is>
      </c>
      <c r="B24" s="292" t="inlineStr">
        <is>
          <t>实P事件数</t>
        </is>
      </c>
      <c r="C24" s="292" t="inlineStr">
        <is>
          <t>正确/总数</t>
        </is>
      </c>
      <c r="D24" s="292" t="inlineStr">
        <is>
          <t>后验均值(Beta5,5)</t>
        </is>
      </c>
      <c r="E24" s="292" t="inlineStr">
        <is>
          <t>校准状态</t>
        </is>
      </c>
      <c r="F24" s="292" t="inlineStr">
        <is>
          <t>备注</t>
        </is>
      </c>
    </row>
    <row r="25" ht="16.5" customHeight="1" s="172">
      <c r="A25" s="221" t="inlineStr">
        <is>
          <t>付鹏</t>
        </is>
      </c>
      <c r="B25" s="221" t="inlineStr">
        <is>
          <t>2条</t>
        </is>
      </c>
      <c r="C25" s="221" t="inlineStr">
        <is>
          <t>2/2</t>
        </is>
      </c>
      <c r="D25" s="221" t="inlineStr">
        <is>
          <t>0.58</t>
        </is>
      </c>
      <c r="E25" s="221" t="inlineStr">
        <is>
          <t>样本不足</t>
        </is>
      </c>
      <c r="F25" s="221" t="inlineStr">
        <is>
          <t>看多芯片/看空恒科都对了</t>
        </is>
      </c>
    </row>
    <row r="26" ht="16.5" customHeight="1" s="172">
      <c r="A26" s="221" t="inlineStr">
        <is>
          <t>伊娃</t>
        </is>
      </c>
      <c r="B26" s="221" t="inlineStr">
        <is>
          <t>2条</t>
        </is>
      </c>
      <c r="C26" s="293" t="inlineStr">
        <is>
          <t>0/2</t>
        </is>
      </c>
      <c r="D26" s="221" t="inlineStr">
        <is>
          <t>0.42</t>
        </is>
      </c>
      <c r="E26" s="221" t="inlineStr">
        <is>
          <t>样本不足</t>
        </is>
      </c>
      <c r="F26" s="221" t="inlineStr">
        <is>
          <t>⚠️ 2/2全错，养殖跌15%</t>
        </is>
      </c>
    </row>
    <row r="27" ht="16.5" customHeight="1" s="172">
      <c r="A27" s="221" t="inlineStr">
        <is>
          <t>无知半人</t>
        </is>
      </c>
      <c r="B27" s="221" t="inlineStr">
        <is>
          <t>2条</t>
        </is>
      </c>
      <c r="C27" s="221" t="inlineStr">
        <is>
          <t>2/2</t>
        </is>
      </c>
      <c r="D27" s="221" t="inlineStr">
        <is>
          <t>0.58</t>
        </is>
      </c>
      <c r="E27" s="221" t="inlineStr">
        <is>
          <t>样本不足</t>
        </is>
      </c>
      <c r="F27" s="221" t="inlineStr">
        <is>
          <t>看空养殖/银行都对了</t>
        </is>
      </c>
    </row>
    <row r="28" ht="16.5" customHeight="1" s="172">
      <c r="A28" s="221" t="inlineStr">
        <is>
          <t>知乎</t>
        </is>
      </c>
      <c r="B28" s="221" t="inlineStr">
        <is>
          <t>2条</t>
        </is>
      </c>
      <c r="C28" s="221" t="inlineStr">
        <is>
          <t>2/2</t>
        </is>
      </c>
      <c r="D28" s="221" t="inlineStr">
        <is>
          <t>0.58</t>
        </is>
      </c>
      <c r="E28" s="221" t="inlineStr">
        <is>
          <t>样本不足</t>
        </is>
      </c>
      <c r="F28" s="221" t="inlineStr">
        <is>
          <t>看空有色/稀金都对了</t>
        </is>
      </c>
    </row>
    <row r="29" ht="16.5" customHeight="1" s="172">
      <c r="A29" s="221" t="inlineStr">
        <is>
          <t>岩松</t>
        </is>
      </c>
      <c r="B29" s="221" t="inlineStr">
        <is>
          <t>2条</t>
        </is>
      </c>
      <c r="C29" s="221" t="inlineStr">
        <is>
          <t>2/2</t>
        </is>
      </c>
      <c r="D29" s="221" t="inlineStr">
        <is>
          <t>0.58</t>
        </is>
      </c>
      <c r="E29" s="221" t="inlineStr">
        <is>
          <t>样本不足</t>
        </is>
      </c>
      <c r="F29" s="221" t="inlineStr">
        <is>
          <t>看空有色/稀金都对了</t>
        </is>
      </c>
    </row>
    <row r="30" ht="16.5" customHeight="1" s="172">
      <c r="A30" s="221" t="inlineStr">
        <is>
          <t>凯文·沃什</t>
        </is>
      </c>
      <c r="B30" s="221" t="inlineStr">
        <is>
          <t>1条</t>
        </is>
      </c>
      <c r="C30" s="293" t="inlineStr">
        <is>
          <t>0/1</t>
        </is>
      </c>
      <c r="D30" s="221" t="inlineStr">
        <is>
          <t>0.45</t>
        </is>
      </c>
      <c r="E30" s="221" t="inlineStr">
        <is>
          <t>样本不足</t>
        </is>
      </c>
      <c r="F30" s="221" t="inlineStr">
        <is>
          <t>❌ 看空芯片-8pp但芯片涨了16%</t>
        </is>
      </c>
    </row>
    <row r="31" ht="16.5" customHeight="1" s="172">
      <c r="A31" s="221" t="inlineStr">
        <is>
          <t>巴克莱</t>
        </is>
      </c>
      <c r="B31" s="221" t="inlineStr">
        <is>
          <t>1条</t>
        </is>
      </c>
      <c r="C31" s="293" t="inlineStr">
        <is>
          <t>0/1</t>
        </is>
      </c>
      <c r="D31" s="221" t="inlineStr">
        <is>
          <t>0.45</t>
        </is>
      </c>
      <c r="E31" s="221" t="inlineStr">
        <is>
          <t>样本不足</t>
        </is>
      </c>
      <c r="F31" s="221" t="inlineStr">
        <is>
          <t>❌ 看多电池但电池跌了8%</t>
        </is>
      </c>
    </row>
    <row r="32" ht="16.5" customHeight="1" s="172">
      <c r="A32" s="221" t="inlineStr">
        <is>
          <t>AI铜需求</t>
        </is>
      </c>
      <c r="B32" s="221" t="inlineStr">
        <is>
          <t>1条</t>
        </is>
      </c>
      <c r="C32" s="293" t="inlineStr">
        <is>
          <t>0/1</t>
        </is>
      </c>
      <c r="D32" s="221" t="inlineStr">
        <is>
          <t>0.45</t>
        </is>
      </c>
      <c r="E32" s="221" t="inlineStr">
        <is>
          <t>样本不足</t>
        </is>
      </c>
      <c r="F32" s="221" t="inlineStr">
        <is>
          <t>❌ 看多有色但有色跌了10%</t>
        </is>
      </c>
    </row>
    <row r="33" ht="16.5" customHeight="1" s="172">
      <c r="A33" s="221" t="inlineStr">
        <is>
          <t>宋鸿兵</t>
        </is>
      </c>
      <c r="B33" s="221" t="inlineStr">
        <is>
          <t>1条</t>
        </is>
      </c>
      <c r="C33" s="221" t="inlineStr">
        <is>
          <t>1/1</t>
        </is>
      </c>
      <c r="D33" s="221" t="inlineStr">
        <is>
          <t>0.55</t>
        </is>
      </c>
      <c r="E33" s="221" t="inlineStr">
        <is>
          <t>样本不足</t>
        </is>
      </c>
      <c r="F33" s="221" t="inlineStr">
        <is>
          <t>看多芯片对了</t>
        </is>
      </c>
    </row>
    <row r="34" ht="16.5" customHeight="1" s="172">
      <c r="A34" s="221" t="inlineStr">
        <is>
          <t>蒋宇飞</t>
        </is>
      </c>
      <c r="B34" s="221" t="inlineStr">
        <is>
          <t>0条</t>
        </is>
      </c>
      <c r="C34" s="221" t="inlineStr">
        <is>
          <t>0/0</t>
        </is>
      </c>
      <c r="D34" s="221" t="inlineStr">
        <is>
          <t>-</t>
        </is>
      </c>
      <c r="E34" s="221" t="inlineStr">
        <is>
          <t>全虚P</t>
        </is>
      </c>
      <c r="F34" s="221" t="inlineStr">
        <is>
          <t>所有事件都是虚P</t>
        </is>
      </c>
    </row>
    <row r="35" ht="16.5" customHeight="1" s="172">
      <c r="A35" s="221" t="inlineStr">
        <is>
          <t>霍尔木兹→养殖</t>
        </is>
      </c>
      <c r="B35" s="221" t="inlineStr">
        <is>
          <t>0条</t>
        </is>
      </c>
      <c r="C35" s="221" t="inlineStr">
        <is>
          <t>0/0</t>
        </is>
      </c>
      <c r="D35" s="221" t="inlineStr">
        <is>
          <t>-</t>
        </is>
      </c>
      <c r="E35" s="221" t="inlineStr">
        <is>
          <t>全虚P</t>
        </is>
      </c>
      <c r="F35" s="221" t="inlineStr">
        <is>
          <t>传导断了三层</t>
        </is>
      </c>
    </row>
    <row r="37" ht="15" customHeight="1" s="172">
      <c r="A37" s="229" t="inlineStr">
        <is>
          <t>四、下一步行动</t>
        </is>
      </c>
    </row>
    <row r="38" ht="16.5" customHeight="1" s="172">
      <c r="A38" s="182" t="inlineStr">
        <is>
          <t>1. 【立即】养殖P值从70%下调：虚P剔除→66%，再考虑伊娃2/2全错→建议调至55-60%</t>
        </is>
      </c>
    </row>
    <row r="39" ht="16.5" customHeight="1" s="172">
      <c r="A39" s="182" t="inlineStr">
        <is>
          <t>2. 【立即】芯片P值从41%上调：虚P剔除→39%，但漏了存储→芯片资金传导(+5pp)→建议44-48%</t>
        </is>
      </c>
    </row>
    <row r="40" ht="16.5" customHeight="1" s="172">
      <c r="A40" s="182" t="inlineStr">
        <is>
          <t>3. 【持续】每次抓取新事件时，自动分类实P/虚P，虚P不进P值计算</t>
        </is>
      </c>
    </row>
    <row r="41" ht="16.5" customHeight="1" s="172">
      <c r="A41" s="182" t="inlineStr">
        <is>
          <t>4. 【持续】积累信源实P事件，达到3条后自动触发贝叶斯权重校准</t>
        </is>
      </c>
    </row>
    <row r="42" ht="16.5" customHeight="1" s="172">
      <c r="A42" s="182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1" min="1" max="1"/>
  </cols>
  <sheetData>
    <row r="1" ht="21" customHeight="1" s="172">
      <c r="A1" s="199" t="inlineStr">
        <is>
          <t>🔬 深度分析报告 (2026-06-06 01:00)</t>
        </is>
      </c>
    </row>
    <row r="3" ht="16.5" customHeight="1" s="172">
      <c r="A3" s="182">
        <f>=========================================================================</f>
        <v/>
      </c>
    </row>
    <row r="4" ht="16.5" customHeight="1" s="172">
      <c r="A4" s="182" t="inlineStr">
        <is>
          <t xml:space="preserve">  持仓贝叶斯P值+赔率 深度分析报告（完整版）</t>
        </is>
      </c>
    </row>
    <row r="5" ht="16.5" customHeight="1" s="172">
      <c r="A5" s="182" t="inlineStr">
        <is>
          <t xml:space="preserve">  生成时间: 2026-06-06 01:00</t>
        </is>
      </c>
    </row>
    <row r="6" ht="16.5" customHeight="1" s="172">
      <c r="A6" s="182" t="inlineStr">
        <is>
          <t xml:space="preserve">  数据源: 天天基金fundgz估值API + 历史净值API + 支付宝基准</t>
        </is>
      </c>
    </row>
    <row r="7" ht="16.5" customHeight="1" s="172">
      <c r="A7" s="182">
        <f>=========================================================================</f>
        <v/>
      </c>
    </row>
    <row r="8" ht="32.25" customHeight="1" s="172">
      <c r="A8" s="182" t="inlineStr">
        <is>
          <t xml:space="preserve">
【一】持仓全景（全部28只基金）</t>
        </is>
      </c>
    </row>
    <row r="9" ht="16.5" customHeight="1" s="172">
      <c r="A9" s="182" t="inlineStr">
        <is>
          <t>--------------------------------------------------------------------------------</t>
        </is>
      </c>
    </row>
    <row r="10" ht="16.5" customHeight="1" s="172">
      <c r="A10" s="182" t="inlineStr">
        <is>
          <t>基金名称                         代码       成本     今日涨跌       净值</t>
        </is>
      </c>
    </row>
    <row r="11" ht="16.5" customHeight="1" s="172">
      <c r="A11" s="182" t="inlineStr">
        <is>
          <t>--------------------------------------------------------------------------------</t>
        </is>
      </c>
    </row>
    <row r="12" ht="16.5" customHeight="1" s="172">
      <c r="A12" s="182" t="inlineStr">
        <is>
          <t xml:space="preserve">  汇添富上证科创板芯片ETF联接A         020628     3206   -4.87%   3.5305</t>
        </is>
      </c>
    </row>
    <row r="13" ht="16.5" customHeight="1" s="172">
      <c r="A13" s="182" t="inlineStr">
        <is>
          <t xml:space="preserve">  南方中证电池主题ETF联接A           018926     6811   -1.88%   1.7183</t>
        </is>
      </c>
    </row>
    <row r="14" ht="16.5" customHeight="1" s="172">
      <c r="A14" s="182" t="inlineStr">
        <is>
          <t xml:space="preserve">  天弘恒生科技ETF联接C             012349     4822   -1.66%   0.6725</t>
        </is>
      </c>
    </row>
    <row r="15" ht="16.5" customHeight="1" s="172">
      <c r="A15" s="182" t="inlineStr">
        <is>
          <t xml:space="preserve">  招商中证畜牧养殖ETF联接C           014415     4432   -0.48%   0.7249</t>
        </is>
      </c>
    </row>
    <row r="16" ht="16.5" customHeight="1" s="172">
      <c r="A16" s="182" t="inlineStr">
        <is>
          <t xml:space="preserve">  南方有色金属ETF联接C             004433     4800   -2.12%   1.8756</t>
        </is>
      </c>
    </row>
    <row r="17" ht="16.5" customHeight="1" s="172">
      <c r="A17" s="182" t="inlineStr">
        <is>
          <t xml:space="preserve">  嘉实中证稀有金属主题ETF联接C         014111     5822   -1.24%   1.0594</t>
        </is>
      </c>
    </row>
    <row r="18" ht="16.5" customHeight="1" s="172">
      <c r="A18" s="182" t="inlineStr">
        <is>
          <t xml:space="preserve">  银行ETF联接C                 001595        -   +1.32%   1.6526</t>
        </is>
      </c>
    </row>
    <row r="19" ht="16.5" customHeight="1" s="172">
      <c r="A19" s="182" t="inlineStr">
        <is>
          <t xml:space="preserve">  景顺长城中证科创创业人工智能ETF        027048      101   -4.08%   1.1090</t>
        </is>
      </c>
    </row>
    <row r="20" ht="16.5" customHeight="1" s="172">
      <c r="A20" s="182" t="inlineStr">
        <is>
          <t xml:space="preserve">  国泰黄金ETF联接A               000218     2787   -0.01%   3.5234</t>
        </is>
      </c>
    </row>
    <row r="21" ht="16.5" customHeight="1" s="172">
      <c r="A21" s="182" t="inlineStr">
        <is>
          <t xml:space="preserve">  博时黄金ETF联接C               002611     3267   -0.01%   3.0625</t>
        </is>
      </c>
    </row>
    <row r="22" ht="16.5" customHeight="1" s="172">
      <c r="A22" s="182" t="inlineStr">
        <is>
          <t xml:space="preserve">  建信上海金ETF联接C              009034     2939   +0.00%   2.2511</t>
        </is>
      </c>
    </row>
    <row r="23" ht="16.5" customHeight="1" s="172">
      <c r="A23" s="182" t="inlineStr">
        <is>
          <t xml:space="preserve">  前海开源金银珠宝混合C              002207     8839   -1.15%   2.5340</t>
        </is>
      </c>
    </row>
    <row r="24" ht="16.5" customHeight="1" s="172">
      <c r="A24" s="182" t="inlineStr">
        <is>
          <t xml:space="preserve">  永赢先进制造智选A                018124        -   +0.74%   2.4177</t>
        </is>
      </c>
    </row>
    <row r="25" ht="16.5" customHeight="1" s="172">
      <c r="A25" s="182" t="inlineStr">
        <is>
          <t xml:space="preserve">  嘉实自由现金流联接C               024575        -   -0.62%   1.1112</t>
        </is>
      </c>
    </row>
    <row r="26" ht="16.5" customHeight="1" s="172">
      <c r="A26" s="182" t="inlineStr">
        <is>
          <t xml:space="preserve">  华宝纳斯达克精选QA               017436        -   -0.28%   2.5059</t>
        </is>
      </c>
    </row>
    <row r="27" ht="16.5" customHeight="1" s="172">
      <c r="A27" s="182" t="inlineStr">
        <is>
          <t xml:space="preserve">  华宝有色联接C                  017141        -   -2.14%   1.6717</t>
        </is>
      </c>
    </row>
    <row r="28" ht="16.5" customHeight="1" s="172">
      <c r="A28" s="182" t="inlineStr">
        <is>
          <t xml:space="preserve">  景顺招利6月债券A                010011        -   -0.20%   1.3247</t>
        </is>
      </c>
    </row>
    <row r="29" ht="16.5" customHeight="1" s="172">
      <c r="A29" s="182" t="inlineStr">
        <is>
          <t xml:space="preserve">  汇添富鑫享添利6月A               012951        -   -0.13%   1.1815</t>
        </is>
      </c>
    </row>
    <row r="30" ht="16.5" customHeight="1" s="172">
      <c r="A30" s="182" t="inlineStr">
        <is>
          <t xml:space="preserve">  永赢医药创新A                  015915        -   -1.17%   1.4207</t>
        </is>
      </c>
    </row>
    <row r="31" ht="16.5" customHeight="1" s="172">
      <c r="A31" s="182" t="inlineStr">
        <is>
          <t xml:space="preserve">  广发碳中和混合C                 018419        -   -2.25%   1.9262</t>
        </is>
      </c>
    </row>
    <row r="32" ht="16.5" customHeight="1" s="172">
      <c r="A32" s="182" t="inlineStr">
        <is>
          <t xml:space="preserve">  天弘绿色电力C                  017175        -   -3.68%   1.2385</t>
        </is>
      </c>
    </row>
    <row r="33" ht="16.5" customHeight="1" s="172">
      <c r="A33" s="182" t="inlineStr">
        <is>
          <t xml:space="preserve">  摩根日本精选QC                 019449        -      N/A      N/A</t>
        </is>
      </c>
    </row>
    <row r="34" ht="16.5" customHeight="1" s="172">
      <c r="A34" s="182" t="inlineStr">
        <is>
          <t xml:space="preserve">  华宝海外科技QA                 501312        -   +0.00%   2.4162</t>
        </is>
      </c>
    </row>
    <row r="35" ht="16.5" customHeight="1" s="172">
      <c r="A35" s="182" t="inlineStr">
        <is>
          <t xml:space="preserve">  摩根日本精选QA                 007280        -      N/A      N/A</t>
        </is>
      </c>
    </row>
    <row r="36" ht="16.5" customHeight="1" s="172">
      <c r="A36" s="182" t="inlineStr">
        <is>
          <t xml:space="preserve">  港股通互联网联接A                027127        -   -0.32%   1.0106</t>
        </is>
      </c>
    </row>
    <row r="37" ht="16.5" customHeight="1" s="172">
      <c r="A37" s="182" t="inlineStr">
        <is>
          <t xml:space="preserve">  广发全球精选QDIIC              021277        -   -0.17%   6.7843</t>
        </is>
      </c>
    </row>
    <row r="38" ht="16.5" customHeight="1" s="172">
      <c r="A38" s="182" t="inlineStr">
        <is>
          <t xml:space="preserve">  平安先进制造C                  019458        -   +1.66%   1.8590</t>
        </is>
      </c>
    </row>
    <row r="39" ht="16.5" customHeight="1" s="172">
      <c r="A39" s="182" t="inlineStr">
        <is>
          <t xml:space="preserve">  大成有色期货联接C                007911        -      N/A      N/A</t>
        </is>
      </c>
    </row>
    <row r="40" ht="32.25" customHeight="1" s="172">
      <c r="A40" s="182" t="inlineStr">
        <is>
          <t xml:space="preserve">
  追踪持仓总市值: 29716元  总盈亏: -278元</t>
        </is>
      </c>
    </row>
    <row r="41" ht="32.25" customHeight="1" s="172">
      <c r="A41" s="182" t="inlineStr">
        <is>
          <t xml:space="preserve">
【二】信源深度核查（25条事件×价格传导验证）</t>
        </is>
      </c>
    </row>
    <row r="42" ht="16.5" customHeight="1" s="172">
      <c r="A42" s="182">
        <f>=========================================================================</f>
        <v/>
      </c>
    </row>
    <row r="43" ht="32.25" customHeight="1" s="172">
      <c r="A43" s="182" t="inlineStr">
        <is>
          <t xml:space="preserve">
信源             持仓     PP 事件                     1天     3天     5天    10天   最优lag 方向</t>
        </is>
      </c>
    </row>
    <row r="44" ht="16.5" customHeight="1" s="172">
      <c r="A44" s="182" t="inlineStr">
        <is>
          <t>------------------------------------------------------------------------------------------</t>
        </is>
      </c>
    </row>
    <row r="45" ht="16.5" customHeight="1" s="172">
      <c r="A45" s="182" t="inlineStr">
        <is>
          <t xml:space="preserve">  宋鸿兵            芯片    +3pp 摩尔定律极限+堆叠崛起         -3.3%  +0.4%  +3.6%  +4.9%      7天 ✅</t>
        </is>
      </c>
    </row>
    <row r="46" ht="16.5" customHeight="1" s="172">
      <c r="A46" s="182" t="inlineStr">
        <is>
          <t xml:space="preserve">  蒋宇飞            芯片    +2pp AI基建10年+国产算力        -2.2%  +9.6%  +9.9%  +3.8%      6天 ✅</t>
        </is>
      </c>
    </row>
    <row r="47" ht="16.5" customHeight="1" s="172">
      <c r="A47" s="182" t="inlineStr">
        <is>
          <t xml:space="preserve">  蒋宇飞            芯片    +1pp 玻璃基板万亿机遇            -6.2%  -3.3% -10.8% -11.5%     N/A ?</t>
        </is>
      </c>
    </row>
    <row r="48" ht="16.5" customHeight="1" s="172">
      <c r="A48" s="182" t="inlineStr">
        <is>
          <t xml:space="preserve">  付鹏             芯片    +2pp 存储=AI基建               N/A    N/A    N/A    N/A     N/A ?</t>
        </is>
      </c>
    </row>
    <row r="49" ht="16.5" customHeight="1" s="172">
      <c r="A49" s="182" t="inlineStr">
        <is>
          <t xml:space="preserve">  Schiff+周鸿祎     芯片    +1pp 美债熊市+内存决定高度         -2.3%  +2.3%  -5.8%  -7.8%      3天 ✅</t>
        </is>
      </c>
    </row>
    <row r="50" ht="16.5" customHeight="1" s="172">
      <c r="A50" s="182" t="inlineStr">
        <is>
          <t xml:space="preserve">  凯文·沃什          芯片    -8pp 就任美联储→利率风暴          -1.8%  -1.3%  -5.5% -10.4%     20天 ✅</t>
        </is>
      </c>
    </row>
    <row r="51" ht="16.5" customHeight="1" s="172">
      <c r="A51" s="182" t="inlineStr">
        <is>
          <t xml:space="preserve">  韩国闪崩           芯片    -2pp 韩国股市闪崩情绪            -3.6%  -2.7%  -3.2% -13.5%     20天 ✅</t>
        </is>
      </c>
    </row>
    <row r="52" ht="16.5" customHeight="1" s="172">
      <c r="A52" s="182" t="inlineStr">
        <is>
          <t xml:space="preserve">  雪佛龙            电池    +6pp 油价危机OECD红线          +1.1%  +2.1%  +5.4%  +7.7%     20天 ✅</t>
        </is>
      </c>
    </row>
    <row r="53" ht="16.5" customHeight="1" s="172">
      <c r="A53" s="182" t="inlineStr">
        <is>
          <t xml:space="preserve">  巴克莱            电池    +5pp 碳酸锂跌价+巴克莱看多         -0.1%  -1.9%  +0.8%  +0.2%      9天 ✅</t>
        </is>
      </c>
    </row>
    <row r="54" ht="16.5" customHeight="1" s="172">
      <c r="A54" s="182" t="inlineStr">
        <is>
          <t xml:space="preserve">  恩捷+特朗普         电池    +5pp 特朗普访华+恩捷40亿扩产       -0.6%  -0.2%  +2.4%  -4.1%      5天 ✅</t>
        </is>
      </c>
    </row>
    <row r="55" ht="16.5" customHeight="1" s="172">
      <c r="A55" s="182" t="inlineStr">
        <is>
          <t xml:space="preserve">  维力能            电池    +2pp 储能全球第二              +0.3%  +4.1%  +3.7%  +3.8%     19天 ✅</t>
        </is>
      </c>
    </row>
    <row r="56" ht="16.5" customHeight="1" s="172">
      <c r="A56" s="182" t="inlineStr">
        <is>
          <t xml:space="preserve">  付鹏             恒科    -3pp 恒科套利闭环不可持续          -4.3%  -5.5%  -4.4%  -5.9%      8天 ✅</t>
        </is>
      </c>
    </row>
    <row r="57" ht="16.5" customHeight="1" s="172">
      <c r="A57" s="182" t="inlineStr">
        <is>
          <t xml:space="preserve">  付鹏+古都闲云        恒科    -4pp 港股偏弱+社消疲弱           -0.2%  +4.3%  +4.2%  +0.6%     12天 ✅</t>
        </is>
      </c>
    </row>
    <row r="58" ht="16.5" customHeight="1" s="172">
      <c r="A58" s="182" t="inlineStr">
        <is>
          <t xml:space="preserve">  伊娃             养殖    +1pp 仔猪价格硬挺420元          +1.1%  +1.7%  +2.6%  +6.8%     20天 ✅</t>
        </is>
      </c>
    </row>
    <row r="59" ht="16.5" customHeight="1" s="172">
      <c r="A59" s="182" t="inlineStr">
        <is>
          <t xml:space="preserve">  伊娃             养殖    +5pp 17/18猪企亏损→去产能       -0.6%  +0.6%  +3.3%  +6.2%     14天 ✅</t>
        </is>
      </c>
    </row>
    <row r="60" ht="16.5" customHeight="1" s="172">
      <c r="A60" s="182" t="inlineStr">
        <is>
          <t xml:space="preserve">  霍尔木兹           养殖    +9pp 霍尔木兹通航→利好养殖           N/A    N/A    N/A    N/A     N/A ?</t>
        </is>
      </c>
    </row>
    <row r="61" ht="16.5" customHeight="1" s="172">
      <c r="A61" s="182" t="inlineStr">
        <is>
          <t xml:space="preserve">  无知半人           养殖    -2pp 住户贷款-4902亿          +0.6%  +3.3%  +5.6%  +7.5%     N/A ?</t>
        </is>
      </c>
    </row>
    <row r="62" ht="16.5" customHeight="1" s="172">
      <c r="A62" s="182" t="inlineStr">
        <is>
          <t xml:space="preserve">  古都闲云           养殖    -2pp 社消数据疲弱              -0.1%  +3.0%  +2.8%  +5.8%      1天 ✅</t>
        </is>
      </c>
    </row>
    <row r="63" ht="16.5" customHeight="1" s="172">
      <c r="A63" s="182" t="inlineStr">
        <is>
          <t xml:space="preserve">  知乎             有色    -5pp 301关税+欧盟钢铁关税        -0.8%  -3.2%  -1.2%  -2.2%      9天 ✅</t>
        </is>
      </c>
    </row>
    <row r="64" ht="16.5" customHeight="1" s="172">
      <c r="A64" s="182" t="inlineStr">
        <is>
          <t xml:space="preserve">  岩松             有色    -2pp 资源非长期抗通胀            +1.3%  +7.1% +10.0%  +6.5%     N/A ?</t>
        </is>
      </c>
    </row>
    <row r="65" ht="16.5" customHeight="1" s="172">
      <c r="A65" s="182" t="inlineStr">
        <is>
          <t xml:space="preserve">  AI铜需求          有色    +4pp AI铜需求爆发             -3.4%  -1.6%  +1.1%  +9.0%      7天 ✅</t>
        </is>
      </c>
    </row>
    <row r="66" ht="16.5" customHeight="1" s="172">
      <c r="A66" s="182" t="inlineStr">
        <is>
          <t xml:space="preserve">  知乎             稀金    -3pp 贸易利空稀土              -1.7%  -1.6%  -0.0%  +0.5%      2天 ✅</t>
        </is>
      </c>
    </row>
    <row r="67" ht="16.5" customHeight="1" s="172">
      <c r="A67" s="182" t="inlineStr">
        <is>
          <t xml:space="preserve">  岩松             稀金    -5pp 资源非长期抗通胀            +2.7%  +6.0% +10.0%  +8.6%     N/A ?</t>
        </is>
      </c>
    </row>
    <row r="68" ht="16.5" customHeight="1" s="172">
      <c r="A68" s="182" t="inlineStr">
        <is>
          <t xml:space="preserve">  付鹏             银行    -2pp 去杠杆周期不利             -0.6%  -3.3%  -2.4%  -1.8%      3天 ✅</t>
        </is>
      </c>
    </row>
    <row r="69" ht="16.5" customHeight="1" s="172">
      <c r="A69" s="182" t="inlineStr">
        <is>
          <t xml:space="preserve">  无知半人           银行    -3pp 住户贷款-4902亿          +0.2%  +0.9%  +1.4%  +2.0%      2天 ✅</t>
        </is>
      </c>
    </row>
    <row r="70" ht="32.25" customHeight="1" s="172">
      <c r="A70" s="182" t="inlineStr">
        <is>
          <t xml:space="preserve">
【三】信源权重校准（Spearman秩相关）</t>
        </is>
      </c>
    </row>
    <row r="71" ht="16.5" customHeight="1" s="172">
      <c r="A71" s="182">
        <f>=========================================================================</f>
        <v/>
      </c>
    </row>
    <row r="72" ht="16.5" customHeight="1" s="172">
      <c r="A72" s="182" t="inlineStr">
        <is>
          <t xml:space="preserve">  AI铜需求→有色: n=1 方向100% 样本不足→权重=1.0 lag=['7天']</t>
        </is>
      </c>
    </row>
    <row r="73" ht="16.5" customHeight="1" s="172">
      <c r="A73" s="182" t="inlineStr">
        <is>
          <t xml:space="preserve">  Schiff+周鸿祎→芯片: n=1 方向100% 样本不足→权重=1.0 lag=['3天']</t>
        </is>
      </c>
    </row>
    <row r="74" ht="16.5" customHeight="1" s="172">
      <c r="A74" s="182" t="inlineStr">
        <is>
          <t xml:space="preserve">  付鹏+古都闲云→恒科: n=1 方向100% 样本不足→权重=1.0 lag=['12天']</t>
        </is>
      </c>
    </row>
    <row r="75" ht="16.5" customHeight="1" s="172">
      <c r="A75" s="182" t="inlineStr">
        <is>
          <t xml:space="preserve">  付鹏→恒科: n=1 方向100% 样本不足→权重=1.0 lag=['8天']</t>
        </is>
      </c>
    </row>
    <row r="76" ht="16.5" customHeight="1" s="172">
      <c r="A76" s="182" t="inlineStr">
        <is>
          <t xml:space="preserve">  付鹏→银行: n=1 方向100% 样本不足→权重=1.0 lag=['3天']</t>
        </is>
      </c>
    </row>
    <row r="77" ht="16.5" customHeight="1" s="172">
      <c r="A77" s="182" t="inlineStr">
        <is>
          <t xml:space="preserve">  伊娃→养殖: n=2 方向100% ρ=-1.000 权重=-0.50 lag=['20天', '14天']</t>
        </is>
      </c>
    </row>
    <row r="78" ht="16.5" customHeight="1" s="172">
      <c r="A78" s="182" t="inlineStr">
        <is>
          <t xml:space="preserve">  凯文·沃什→芯片: n=1 方向100% 样本不足→权重=1.0 lag=['20天']</t>
        </is>
      </c>
    </row>
    <row r="79" ht="16.5" customHeight="1" s="172">
      <c r="A79" s="182" t="inlineStr">
        <is>
          <t xml:space="preserve">  古都闲云→养殖: n=1 方向100% 样本不足→权重=1.0 lag=['1天']</t>
        </is>
      </c>
    </row>
    <row r="80" ht="16.5" customHeight="1" s="172">
      <c r="A80" s="182" t="inlineStr">
        <is>
          <t xml:space="preserve">  宋鸿兵→芯片: n=1 方向100% 样本不足→权重=1.0 lag=['7天']</t>
        </is>
      </c>
    </row>
    <row r="81" ht="16.5" customHeight="1" s="172">
      <c r="A81" s="182" t="inlineStr">
        <is>
          <t xml:space="preserve">  巴克莱→电池: n=1 方向100% 样本不足→权重=1.0 lag=['9天']</t>
        </is>
      </c>
    </row>
    <row r="82" ht="16.5" customHeight="1" s="172">
      <c r="A82" s="182" t="inlineStr">
        <is>
          <t xml:space="preserve">  恩捷+特朗普→电池: n=1 方向100% 样本不足→权重=1.0 lag=['5天']</t>
        </is>
      </c>
    </row>
    <row r="83" ht="16.5" customHeight="1" s="172">
      <c r="A83" s="182" t="inlineStr">
        <is>
          <t xml:space="preserve">  无知半人→银行: n=1 方向100% 样本不足→权重=1.0 lag=['2天']</t>
        </is>
      </c>
    </row>
    <row r="84" ht="16.5" customHeight="1" s="172">
      <c r="A84" s="182" t="inlineStr">
        <is>
          <t xml:space="preserve">  知乎→有色: n=1 方向100% 样本不足→权重=1.0 lag=['9天']</t>
        </is>
      </c>
    </row>
    <row r="85" ht="16.5" customHeight="1" s="172">
      <c r="A85" s="182" t="inlineStr">
        <is>
          <t xml:space="preserve">  知乎→稀金: n=1 方向100% 样本不足→权重=1.0 lag=['2天']</t>
        </is>
      </c>
    </row>
    <row r="86" ht="16.5" customHeight="1" s="172">
      <c r="A86" s="182" t="inlineStr">
        <is>
          <t xml:space="preserve">  维力能→电池: n=1 方向100% 样本不足→权重=1.0 lag=['19天']</t>
        </is>
      </c>
    </row>
    <row r="87" ht="16.5" customHeight="1" s="172">
      <c r="A87" s="182" t="inlineStr">
        <is>
          <t xml:space="preserve">  蒋宇飞→芯片: n=1 方向100% 样本不足→权重=1.0 lag=['6天']</t>
        </is>
      </c>
    </row>
    <row r="88" ht="16.5" customHeight="1" s="172">
      <c r="A88" s="182" t="inlineStr">
        <is>
          <t xml:space="preserve">  雪佛龙→电池: n=1 方向100% 样本不足→权重=1.0 lag=['20天']</t>
        </is>
      </c>
    </row>
    <row r="89" ht="16.5" customHeight="1" s="172">
      <c r="A89" s="182" t="inlineStr">
        <is>
          <t xml:space="preserve">  韩国闪崩→芯片: n=1 方向100% 样本不足→权重=1.0 lag=['20天']</t>
        </is>
      </c>
    </row>
    <row r="90" ht="32.25" customHeight="1" s="172">
      <c r="A90" s="182" t="inlineStr">
        <is>
          <t xml:space="preserve">
【四】P值校准结果</t>
        </is>
      </c>
    </row>
    <row r="91" ht="16.5" customHeight="1" s="172">
      <c r="A91" s="182">
        <f>=========================================================================</f>
        <v/>
      </c>
    </row>
    <row r="92" ht="32.25" customHeight="1" s="172">
      <c r="A92" s="182" t="inlineStr">
        <is>
          <t xml:space="preserve">
持仓        原P    校准PP    校准P    拟合     20日      持有 诊断</t>
        </is>
      </c>
    </row>
    <row r="93" ht="16.5" customHeight="1" s="172">
      <c r="A93" s="182" t="inlineStr">
        <is>
          <t>--------------------------------------------------------------------------------</t>
        </is>
      </c>
    </row>
    <row r="94" ht="16.5" customHeight="1" s="172">
      <c r="A94" s="182" t="inlineStr">
        <is>
          <t xml:space="preserve">  芯片      41%   -1.0pp  49.0%   97分  -14.3%   +3.9% 利率-8pp被AI覆盖;漏存储→资金传导事件</t>
        </is>
      </c>
    </row>
    <row r="95" ht="16.5" customHeight="1" s="172">
      <c r="A95" s="182" t="inlineStr">
        <is>
          <t xml:space="preserve">  电池      65%  +18.0pp  68.0%   97分   -8.1%   +6.0% 拟合97分可靠;短期回调中</t>
        </is>
      </c>
    </row>
    <row r="96" ht="16.5" customHeight="1" s="172">
      <c r="A96" s="182" t="inlineStr">
        <is>
          <t xml:space="preserve">  恒科      27%   -7.0pp  43.0%   75分   -3.4%   -6.0% 拟合75分方向对;悲观但合理</t>
        </is>
      </c>
    </row>
    <row r="97" ht="16.5" customHeight="1" s="172">
      <c r="A97" s="182" t="inlineStr">
        <is>
          <t xml:space="preserve">  养殖      70%   +2.0pp  52.0%   95分  -14.3%  -12.5% 拟合95分但霍尔木兹+9pp强度过高</t>
        </is>
      </c>
    </row>
    <row r="98" ht="16.5" customHeight="1" s="172">
      <c r="A98" s="182" t="inlineStr">
        <is>
          <t xml:space="preserve">  有色      39%   -3.0pp  47.0%    0分  -10.7%   -0.4% 拟合0分样本少</t>
        </is>
      </c>
    </row>
    <row r="99" ht="16.5" customHeight="1" s="172">
      <c r="A99" s="182" t="inlineStr">
        <is>
          <t xml:space="preserve">  稀金      40%   -8.0pp  42.0%    0分   +0.0%   +0.8% 拟合0分样本少</t>
        </is>
      </c>
    </row>
    <row r="100" ht="16.5" customHeight="1" s="172">
      <c r="A100" s="182" t="inlineStr">
        <is>
          <t xml:space="preserve">  银行      47%   -5.0pp  45.0%   53分   -1.4%   +0.0% 拟合53分一般</t>
        </is>
      </c>
    </row>
    <row r="101" ht="32.25" customHeight="1" s="172">
      <c r="A101" s="182" t="inlineStr">
        <is>
          <t xml:space="preserve">
【五】赔率 + 正期望（核心决策指标）</t>
        </is>
      </c>
    </row>
    <row r="102" ht="16.5" customHeight="1" s="172">
      <c r="A102" s="182">
        <f>=========================================================================</f>
        <v/>
      </c>
    </row>
    <row r="103" ht="32.25" customHeight="1" s="172">
      <c r="A103" s="182" t="inlineStr">
        <is>
          <t xml:space="preserve">
持仓        P值     赔率    正期望     下行风险     上行空间 操作</t>
        </is>
      </c>
    </row>
    <row r="104" ht="16.5" customHeight="1" s="172">
      <c r="A104" s="182" t="inlineStr">
        <is>
          <t>--------------------------------------------------------------------------------</t>
        </is>
      </c>
    </row>
    <row r="105" ht="16.5" customHeight="1" s="172">
      <c r="A105" s="182" t="inlineStr">
        <is>
          <t xml:space="preserve">  芯片    49.0%   7.4:1  3.64     8.1%    60.1% ✅持有</t>
        </is>
      </c>
    </row>
    <row r="106" ht="16.5" customHeight="1" s="172">
      <c r="A106" s="182" t="inlineStr">
        <is>
          <t xml:space="preserve">  电池    68.0%  14.4:1  9.77     3.6%    51.9% ✅持有</t>
        </is>
      </c>
    </row>
    <row r="107" ht="16.5" customHeight="1" s="172">
      <c r="A107" s="182" t="inlineStr">
        <is>
          <t xml:space="preserve">  恒科    43.0%   4.4:1  1.88     5.4%    23.6% ✅持有</t>
        </is>
      </c>
    </row>
    <row r="108" ht="16.5" customHeight="1" s="172">
      <c r="A108" s="182" t="inlineStr">
        <is>
          <t xml:space="preserve">  养殖    52.0%   5.2:1  2.72     3.6%    18.6% ✅持有</t>
        </is>
      </c>
    </row>
    <row r="109" ht="16.5" customHeight="1" s="172">
      <c r="A109" s="182" t="inlineStr">
        <is>
          <t xml:space="preserve">  有色    47.0%   3.4:1  1.61     7.2%    24.6% ✅持有</t>
        </is>
      </c>
    </row>
    <row r="110" ht="16.5" customHeight="1" s="172">
      <c r="A110" s="182" t="inlineStr">
        <is>
          <t xml:space="preserve">  稀金    42.0%   2.8:1  1.18     7.8%    22.0% ⚠️观察</t>
        </is>
      </c>
    </row>
    <row r="111" ht="16.5" customHeight="1" s="172">
      <c r="A111" s="182" t="inlineStr">
        <is>
          <t xml:space="preserve">  银行    45.0%   2.4:1  1.07     2.5%     6.0% ⚠️观察</t>
        </is>
      </c>
    </row>
    <row r="112" ht="32.25" customHeight="1" s="172">
      <c r="A112" s="182" t="inlineStr">
        <is>
          <t xml:space="preserve">
【六】跨品种传导矩阵（AI发现的隐藏信息）</t>
        </is>
      </c>
    </row>
    <row r="113" ht="16.5" customHeight="1" s="172">
      <c r="A113" s="182">
        <f>=========================================================================</f>
        <v/>
      </c>
    </row>
    <row r="114" ht="424.5" customHeight="1" s="172">
      <c r="A114" s="182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2">
      <c r="A115" s="182" t="inlineStr">
        <is>
          <t xml:space="preserve">
【七】操作建议（基于P值×赔率正期望）</t>
        </is>
      </c>
    </row>
    <row r="116" ht="16.5" customHeight="1" s="172">
      <c r="A116" s="182">
        <f>=========================================================================</f>
        <v/>
      </c>
    </row>
    <row r="117" ht="48" customHeight="1" s="172">
      <c r="A117" s="182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2">
      <c r="A118" s="182" t="inlineStr">
        <is>
          <t xml:space="preserve">
【八】机制固化说明</t>
        </is>
      </c>
    </row>
    <row r="119" ht="16.5" customHeight="1" s="172">
      <c r="A119" s="182">
        <f>=========================================================================</f>
        <v/>
      </c>
    </row>
    <row r="120" ht="32.25" customHeight="1" s="172">
      <c r="A120" s="182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1" min="1" max="1"/>
    <col width="14" customWidth="1" style="171" min="2" max="2"/>
    <col width="45" customWidth="1" style="171" min="3" max="3"/>
    <col width="14" customWidth="1" style="171" min="4" max="4"/>
    <col width="18" customWidth="1" style="171" min="5" max="5"/>
    <col width="12" customWidth="1" style="171" min="6" max="6"/>
    <col width="20" customWidth="1" style="171" min="7" max="7"/>
  </cols>
  <sheetData>
    <row r="1" ht="19.5" customHeight="1" s="172">
      <c r="A1" s="294" t="inlineStr">
        <is>
          <t>⚙️ 系统机制完整索引</t>
        </is>
      </c>
      <c r="B1" s="192" t="n"/>
      <c r="C1" s="192" t="n"/>
      <c r="D1" s="192" t="n"/>
      <c r="E1" s="192" t="n"/>
      <c r="F1" s="192" t="n"/>
      <c r="G1" s="193" t="n"/>
    </row>
    <row r="2" ht="15" customHeight="1" s="172">
      <c r="A2" s="295" t="inlineStr">
        <is>
          <t>字段说明：机制名 | 触发词 | 功能说明 | 输入 | 输出 | 频率 | 关联机制</t>
        </is>
      </c>
      <c r="B2" s="192" t="n"/>
      <c r="C2" s="192" t="n"/>
      <c r="D2" s="192" t="n"/>
      <c r="E2" s="192" t="n"/>
      <c r="F2" s="192" t="n"/>
      <c r="G2" s="193" t="n"/>
    </row>
    <row r="4" ht="16.5" customHeight="1" s="172">
      <c r="A4" s="296" t="inlineStr">
        <is>
          <t>A类：投资核心机制</t>
        </is>
      </c>
      <c r="B4" s="192" t="n"/>
      <c r="C4" s="192" t="n"/>
      <c r="D4" s="192" t="n"/>
      <c r="E4" s="192" t="n"/>
      <c r="F4" s="192" t="n"/>
      <c r="G4" s="193" t="n"/>
    </row>
    <row r="5" ht="29.25" customHeight="1" s="172">
      <c r="A5" s="297" t="inlineStr">
        <is>
          <t>P值三层次体系</t>
        </is>
      </c>
      <c r="B5" s="298" t="inlineStr">
        <is>
          <t>内置规则</t>
        </is>
      </c>
      <c r="C5" s="298" t="inlineStr">
        <is>
          <t>主P(事实事件)→虚P(观点预测)→利率折价→有效P。P值系统的宪法。</t>
        </is>
      </c>
      <c r="D5" s="299" t="inlineStr">
        <is>
          <t>事件数据</t>
        </is>
      </c>
      <c r="E5" s="299" t="inlineStr">
        <is>
          <t>有效P值</t>
        </is>
      </c>
      <c r="F5" s="299" t="inlineStr">
        <is>
          <t>每次事件更新</t>
        </is>
      </c>
      <c r="G5" s="299" t="inlineStr">
        <is>
          <t>→盈亏比→机会成本</t>
        </is>
      </c>
    </row>
    <row r="6" ht="16.5" customHeight="1" s="172">
      <c r="A6" s="300" t="inlineStr">
        <is>
          <t>盈亏比计算</t>
        </is>
      </c>
      <c r="B6" s="298" t="inlineStr">
        <is>
          <t>内置规则</t>
        </is>
      </c>
      <c r="C6" s="298" t="inlineStr">
        <is>
          <t>确定性空间+溢价空间×P打折÷下行极限。决定是否值得做。</t>
        </is>
      </c>
      <c r="D6" s="301" t="inlineStr">
        <is>
          <t>P值+空间估计</t>
        </is>
      </c>
      <c r="E6" s="299" t="inlineStr">
        <is>
          <t>盈亏比数值</t>
        </is>
      </c>
      <c r="F6" s="299" t="inlineStr">
        <is>
          <t>按需</t>
        </is>
      </c>
      <c r="G6" s="301" t="inlineStr">
        <is>
          <t>←P值体系→机会成本</t>
        </is>
      </c>
    </row>
    <row r="7" ht="29.25" customHeight="1" s="172">
      <c r="A7" s="297" t="inlineStr">
        <is>
          <t>P值vs价格拟合分析</t>
        </is>
      </c>
      <c r="B7" s="302" t="inlineStr">
        <is>
          <t>"跑P值拟合"</t>
        </is>
      </c>
      <c r="C7" s="298" t="inlineStr">
        <is>
          <t>六维度综合评分(Spearman+Pearson+Kendall+事件驱动+方向一致+回归斜率)验证P值准确性。</t>
        </is>
      </c>
      <c r="D7" s="301" t="inlineStr">
        <is>
          <t>P值序列+价格数据</t>
        </is>
      </c>
      <c r="E7" s="299" t="inlineStr">
        <is>
          <t>拟合分析Sheet+评分</t>
        </is>
      </c>
      <c r="F7" s="299" t="inlineStr">
        <is>
          <t>每7天自动</t>
        </is>
      </c>
      <c r="G7" s="299" t="inlineStr">
        <is>
          <t>→信源评分→门控</t>
        </is>
      </c>
    </row>
    <row r="8" ht="29.25" customHeight="1" s="172">
      <c r="A8" s="300" t="inlineStr">
        <is>
          <t>持仓盈亏联动</t>
        </is>
      </c>
      <c r="B8" s="302" t="inlineStr">
        <is>
          <t>"跑盈亏联动"</t>
        </is>
      </c>
      <c r="C8" s="302" t="inlineStr">
        <is>
          <t>P值预测方向×事件链推导方向×实际价格走势三维一致性检验。</t>
        </is>
      </c>
      <c r="D8" s="301" t="inlineStr">
        <is>
          <t>Excel P值+基金净值+事件链</t>
        </is>
      </c>
      <c r="E8" s="299" t="inlineStr">
        <is>
          <t>持仓盈亏联动Sheet+邮件</t>
        </is>
      </c>
      <c r="F8" s="299" t="inlineStr">
        <is>
          <t>每次更新后</t>
        </is>
      </c>
      <c r="G8" s="301" t="inlineStr">
        <is>
          <t>←P值→机会成本</t>
        </is>
      </c>
    </row>
    <row r="9" ht="29.25" customHeight="1" s="172">
      <c r="A9" s="300" t="inlineStr">
        <is>
          <t>机会成本比较</t>
        </is>
      </c>
      <c r="B9" s="302" t="inlineStr">
        <is>
          <t>"看机会成本"</t>
        </is>
      </c>
      <c r="C9" s="298" t="inlineStr">
        <is>
          <t>所有投资选项(持仓加仓/新机会/现金)放一个池子，用P×R排序决定现金分配。</t>
        </is>
      </c>
      <c r="D9" s="301" t="inlineStr">
        <is>
          <t>P值+预估收益率</t>
        </is>
      </c>
      <c r="E9" s="299" t="inlineStr">
        <is>
          <t>机会成本排序Sheet</t>
        </is>
      </c>
      <c r="F9" s="299" t="inlineStr">
        <is>
          <t>每次监控后</t>
        </is>
      </c>
      <c r="G9" s="301" t="inlineStr">
        <is>
          <t>←P值←盈亏比</t>
        </is>
      </c>
    </row>
    <row r="10" ht="29.25" customHeight="1" s="172">
      <c r="A10" s="300" t="inlineStr">
        <is>
          <t>资金分配交叉审核</t>
        </is>
      </c>
      <c r="B10" s="302" t="inlineStr">
        <is>
          <t>"资金怎么分"</t>
        </is>
      </c>
      <c r="C10" s="302" t="inlineStr">
        <is>
          <t>Hermes出初稿→小龙虾审→Hermes反审→联合结论。多轮交叉提问。</t>
        </is>
      </c>
      <c r="D10" s="299" t="inlineStr">
        <is>
          <t>持仓数据+P值+现金量</t>
        </is>
      </c>
      <c r="E10" s="299" t="inlineStr">
        <is>
          <t>资金分配方案+审核记录</t>
        </is>
      </c>
      <c r="F10" s="299" t="inlineStr">
        <is>
          <t>按需(大额决策)</t>
        </is>
      </c>
      <c r="G10" s="299" t="inlineStr">
        <is>
          <t>←机会成本</t>
        </is>
      </c>
    </row>
    <row r="11" ht="29.25" customHeight="1" s="172">
      <c r="A11" s="300" t="inlineStr">
        <is>
          <t>买入触发条件模板</t>
        </is>
      </c>
      <c r="B11" s="298" t="inlineStr">
        <is>
          <t>内置规则</t>
        </is>
      </c>
      <c r="C11" s="298" t="inlineStr">
        <is>
          <t>各类资产的通用买入信号模板(右侧/左侧/HALO各有不同触发条件)。</t>
        </is>
      </c>
      <c r="D11" s="299" t="inlineStr">
        <is>
          <t>品种类型</t>
        </is>
      </c>
      <c r="E11" s="299" t="inlineStr">
        <is>
          <t>触发条件清单</t>
        </is>
      </c>
      <c r="F11" s="299" t="inlineStr">
        <is>
          <t>按需</t>
        </is>
      </c>
      <c r="G11" s="299" t="inlineStr">
        <is>
          <t>←三类操盘框架</t>
        </is>
      </c>
    </row>
    <row r="12" ht="29.25" customHeight="1" s="172">
      <c r="A12" s="300" t="inlineStr">
        <is>
          <t>三类操盘框架</t>
        </is>
      </c>
      <c r="B12" s="298" t="inlineStr">
        <is>
          <t>内置规则</t>
        </is>
      </c>
      <c r="C12" s="298" t="inlineStr">
        <is>
          <t>右侧(等信号确认)/左侧(低估值慢慢拿)/HALO(方向性看看不做)。决定操作节奏。</t>
        </is>
      </c>
      <c r="D12" s="299" t="inlineStr">
        <is>
          <t>品种特征</t>
        </is>
      </c>
      <c r="E12" s="299" t="inlineStr">
        <is>
          <t>分类+操作原则</t>
        </is>
      </c>
      <c r="F12" s="299" t="inlineStr">
        <is>
          <t>每次新资产</t>
        </is>
      </c>
      <c r="G12" s="299" t="inlineStr">
        <is>
          <t>→买入触发</t>
        </is>
      </c>
    </row>
    <row r="13" ht="29.25" customHeight="1" s="172">
      <c r="A13" s="300" t="inlineStr">
        <is>
          <t>资产快速查询</t>
        </is>
      </c>
      <c r="B13" s="302" t="inlineStr">
        <is>
          <t>"调出XX"</t>
        </is>
      </c>
      <c r="C13" s="298" t="inlineStr">
        <is>
          <t>三层分析(宏观→中观→微观)→三关(懂不懂/护城河/管理层)→3选1(不动/加/减)。</t>
        </is>
      </c>
      <c r="D13" s="299" t="inlineStr">
        <is>
          <t>资产名称</t>
        </is>
      </c>
      <c r="E13" s="299" t="inlineStr">
        <is>
          <t>调研报告+建议</t>
        </is>
      </c>
      <c r="F13" s="299" t="inlineStr">
        <is>
          <t>按需</t>
        </is>
      </c>
      <c r="G13" s="299" t="inlineStr">
        <is>
          <t>←估值方法论←宏观传导</t>
        </is>
      </c>
    </row>
    <row r="14" ht="29.25" customHeight="1" s="172">
      <c r="A14" s="300" t="inlineStr">
        <is>
          <t>信息源到信念更新</t>
        </is>
      </c>
      <c r="B14" s="298" t="inlineStr">
        <is>
          <t>内置规则</t>
        </is>
      </c>
      <c r="C14" s="298" t="inlineStr">
        <is>
          <t>信息源→事件提取→贝叶斯P值更新→仓位影响计算→互锁验证。</t>
        </is>
      </c>
      <c r="D14" s="299" t="inlineStr">
        <is>
          <t>视频/新闻/文章</t>
        </is>
      </c>
      <c r="E14" s="299" t="inlineStr">
        <is>
          <t>事件记录+P值更新</t>
        </is>
      </c>
      <c r="F14" s="299" t="inlineStr">
        <is>
          <t>每次监控</t>
        </is>
      </c>
      <c r="G14" s="301" t="inlineStr">
        <is>
          <t>→P值体系</t>
        </is>
      </c>
    </row>
    <row r="15" ht="29.25" customHeight="1" s="172">
      <c r="A15" s="300" t="inlineStr">
        <is>
          <t>持仓周跟踪</t>
        </is>
      </c>
      <c r="B15" s="298" t="inlineStr">
        <is>
          <t>内置规则</t>
        </is>
      </c>
      <c r="C15" s="298" t="inlineStr">
        <is>
          <t>周日四层框架：叙事一致性→逻辑链检验→反常检测→前瞻更新(含置信度)。</t>
        </is>
      </c>
      <c r="D15" s="299" t="inlineStr">
        <is>
          <t>持仓数据+本周事件</t>
        </is>
      </c>
      <c r="E15" s="299" t="inlineStr">
        <is>
          <t>周报邮件</t>
        </is>
      </c>
      <c r="F15" s="299" t="inlineStr">
        <is>
          <t>每周日自动</t>
        </is>
      </c>
      <c r="G15" s="301" t="inlineStr">
        <is>
          <t>←P值←盈亏联动</t>
        </is>
      </c>
    </row>
    <row r="17" ht="16.5" customHeight="1" s="172">
      <c r="A17" s="296" t="inlineStr">
        <is>
          <t>B类：工具技能</t>
        </is>
      </c>
      <c r="B17" s="192" t="n"/>
      <c r="C17" s="192" t="n"/>
      <c r="D17" s="192" t="n"/>
      <c r="E17" s="192" t="n"/>
      <c r="F17" s="192" t="n"/>
      <c r="G17" s="193" t="n"/>
    </row>
    <row r="18" ht="16.5" customHeight="1" s="172">
      <c r="A18" s="300" t="inlineStr">
        <is>
          <t>基金估值CDP提取</t>
        </is>
      </c>
      <c r="B18" s="302" t="inlineStr">
        <is>
          <t>"查估值"</t>
        </is>
      </c>
      <c r="C18" s="298" t="inlineStr">
        <is>
          <t>通过Chrome CDP从蛋卷基金提取指数PE/PB百分位数据。</t>
        </is>
      </c>
      <c r="D18" s="299" t="inlineStr">
        <is>
          <t>指数名称</t>
        </is>
      </c>
      <c r="E18" s="301" t="inlineStr">
        <is>
          <t>PE/PB百分位</t>
        </is>
      </c>
      <c r="F18" s="299" t="inlineStr">
        <is>
          <t>按需</t>
        </is>
      </c>
      <c r="G18" s="299" t="inlineStr">
        <is>
          <t>→资产快速查询</t>
        </is>
      </c>
    </row>
    <row r="19" ht="16.5" customHeight="1" s="172">
      <c r="A19" s="300" t="inlineStr">
        <is>
          <t>利率数据查询</t>
        </is>
      </c>
      <c r="B19" s="302" t="inlineStr">
        <is>
          <t>"查利率"</t>
        </is>
      </c>
      <c r="C19" s="298" t="inlineStr">
        <is>
          <t>所有外部财经API被墙，唯一通路是浏览器CDP查利率。</t>
        </is>
      </c>
      <c r="D19" s="299" t="inlineStr">
        <is>
          <t>利率品种</t>
        </is>
      </c>
      <c r="E19" s="299" t="inlineStr">
        <is>
          <t>利率数值</t>
        </is>
      </c>
      <c r="F19" s="299" t="inlineStr">
        <is>
          <t>按需</t>
        </is>
      </c>
      <c r="G19" s="301" t="inlineStr">
        <is>
          <t>→P值利率折价</t>
        </is>
      </c>
    </row>
    <row r="21" ht="16.5" customHeight="1" s="172">
      <c r="A21" s="296" t="inlineStr">
        <is>
          <t>C类：流程与保障机制</t>
        </is>
      </c>
      <c r="B21" s="192" t="n"/>
      <c r="C21" s="192" t="n"/>
      <c r="D21" s="192" t="n"/>
      <c r="E21" s="192" t="n"/>
      <c r="F21" s="192" t="n"/>
      <c r="G21" s="193" t="n"/>
    </row>
    <row r="22" ht="29.25" customHeight="1" s="172">
      <c r="A22" s="300" t="inlineStr">
        <is>
          <t>监控第〇步五个开关</t>
        </is>
      </c>
      <c r="B22" s="298" t="inlineStr">
        <is>
          <t>内置规则</t>
        </is>
      </c>
      <c r="C22" s="298" t="inlineStr">
        <is>
          <t>每次监控前先确认：调试输出/收网/待重仓审核/宏观审核/巴菲特三关。</t>
        </is>
      </c>
      <c r="D22" s="299" t="inlineStr">
        <is>
          <t>用户指令</t>
        </is>
      </c>
      <c r="E22" s="299" t="inlineStr">
        <is>
          <t>开关配置</t>
        </is>
      </c>
      <c r="F22" s="299" t="inlineStr">
        <is>
          <t>每次监控</t>
        </is>
      </c>
      <c r="G22" s="299" t="inlineStr">
        <is>
          <t>→全流程</t>
        </is>
      </c>
    </row>
    <row r="23" ht="21.75" customHeight="1" s="172">
      <c r="A23" s="300" t="inlineStr">
        <is>
          <t>信源评分系统</t>
        </is>
      </c>
      <c r="B23" s="302" t="inlineStr">
        <is>
          <t>"校准信源"</t>
        </is>
      </c>
      <c r="C23" s="302" t="inlineStr">
        <is>
          <t>P值vs价格拟合→信源打分→门控方案(全信/半信/丢弃)。</t>
        </is>
      </c>
      <c r="D23" s="299" t="inlineStr">
        <is>
          <t>拟合结果+事件链</t>
        </is>
      </c>
      <c r="E23" s="301" t="inlineStr">
        <is>
          <t>source_calibration_deep.json</t>
        </is>
      </c>
      <c r="F23" s="299" t="inlineStr">
        <is>
          <t>每14天</t>
        </is>
      </c>
      <c r="G23" s="301" t="inlineStr">
        <is>
          <t>←P值拟合→门控</t>
        </is>
      </c>
    </row>
    <row r="24" ht="29.25" customHeight="1" s="172">
      <c r="A24" s="300" t="inlineStr">
        <is>
          <t>深度分析档案索引</t>
        </is>
      </c>
      <c r="B24" s="302" t="inlineStr">
        <is>
          <t>"查档案"</t>
        </is>
      </c>
      <c r="C24" s="298" t="inlineStr">
        <is>
          <t>任何深度分析完成后建索引(L1.5+L2+持久路径)，确保可追溯。</t>
        </is>
      </c>
      <c r="D24" s="299" t="inlineStr">
        <is>
          <t>分析对象名</t>
        </is>
      </c>
      <c r="E24" s="299" t="inlineStr">
        <is>
          <t>档案索引文档+L2记忆</t>
        </is>
      </c>
      <c r="F24" s="299" t="inlineStr">
        <is>
          <t>深度分析后</t>
        </is>
      </c>
      <c r="G24" s="299" t="inlineStr">
        <is>
          <t>→档案总索引</t>
        </is>
      </c>
    </row>
    <row r="25" ht="29.25" customHeight="1" s="172">
      <c r="A25" s="300" t="inlineStr">
        <is>
          <t>看板使用教程</t>
        </is>
      </c>
      <c r="B25" s="302" t="inlineStr">
        <is>
          <t>"怎么用看板"</t>
        </is>
      </c>
      <c r="C25" s="298" t="inlineStr">
        <is>
          <t>日常3分钟(看P值排序)/半月复盘(拟合信源)/正轨(时间线推演)。</t>
        </is>
      </c>
      <c r="D25" s="301" t="inlineStr">
        <is>
          <t>-</t>
        </is>
      </c>
      <c r="E25" s="301" t="inlineStr">
        <is>
          <t>~/桌面/看板使用教程.md</t>
        </is>
      </c>
      <c r="F25" s="299" t="inlineStr">
        <is>
          <t>按需</t>
        </is>
      </c>
      <c r="G25" s="301" t="inlineStr">
        <is>
          <t>-</t>
        </is>
      </c>
    </row>
    <row r="26" ht="16.5" customHeight="1" s="172">
      <c r="A26" s="300" t="inlineStr">
        <is>
          <t>日报Cron</t>
        </is>
      </c>
      <c r="B26" s="302" t="inlineStr">
        <is>
          <t>"出日报"</t>
        </is>
      </c>
      <c r="C26" s="298" t="inlineStr">
        <is>
          <t>工作日下午自动推送：P值总览+净值+事件→邮件。</t>
        </is>
      </c>
      <c r="D26" s="299" t="inlineStr">
        <is>
          <t>当前看板数据</t>
        </is>
      </c>
      <c r="E26" s="299" t="inlineStr">
        <is>
          <t>邮件到QQ</t>
        </is>
      </c>
      <c r="F26" s="299" t="inlineStr">
        <is>
          <t>工作日自动</t>
        </is>
      </c>
      <c r="G26" s="299" t="inlineStr">
        <is>
          <t>←全看板</t>
        </is>
      </c>
    </row>
    <row r="27" ht="29.25" customHeight="1" s="172">
      <c r="A27" s="300" t="inlineStr">
        <is>
          <t>新机制三重锁</t>
        </is>
      </c>
      <c r="B27" s="298" t="inlineStr">
        <is>
          <t>内置铁律</t>
        </is>
      </c>
      <c r="C27" s="298" t="inlineStr">
        <is>
          <t>锁1:建完机制同步更新三处 锁2:阶段四第12项自检 锁3:档案索引同步。防止机制隐身。</t>
        </is>
      </c>
      <c r="D27" s="299" t="inlineStr">
        <is>
          <t>新机制</t>
        </is>
      </c>
      <c r="E27" s="299" t="inlineStr">
        <is>
          <t>更新后的看板+文档</t>
        </is>
      </c>
      <c r="F27" s="299" t="inlineStr">
        <is>
          <t>每次建机制</t>
        </is>
      </c>
      <c r="G27" s="299" t="inlineStr">
        <is>
          <t>→本表</t>
        </is>
      </c>
    </row>
    <row r="30" ht="16.5" customHeight="1" s="172">
      <c r="A30" s="303" t="inlineStr">
        <is>
          <t>🔗 核心连锁关系</t>
        </is>
      </c>
      <c r="B30" s="192" t="n"/>
      <c r="C30" s="192" t="n"/>
      <c r="D30" s="192" t="n"/>
      <c r="E30" s="192" t="n"/>
      <c r="F30" s="192" t="n"/>
      <c r="G30" s="193" t="n"/>
    </row>
    <row r="31" ht="15" customHeight="1" s="172">
      <c r="A31" s="298" t="inlineStr">
        <is>
          <t>连锁1：P值拟合 → 信源评分 → 门控方案（全信/半信/丢弃）</t>
        </is>
      </c>
      <c r="B31" s="192" t="n"/>
      <c r="C31" s="192" t="n"/>
      <c r="D31" s="192" t="n"/>
      <c r="E31" s="192" t="n"/>
      <c r="F31" s="192" t="n"/>
      <c r="G31" s="193" t="n"/>
    </row>
    <row r="32" ht="15" customHeight="1" s="172">
      <c r="A32" s="298" t="inlineStr">
        <is>
          <t>连锁2：信息源→信念更新 → P值体系 → 盈亏比 → 机会成本 → 资金分配</t>
        </is>
      </c>
      <c r="B32" s="192" t="n"/>
      <c r="C32" s="192" t="n"/>
      <c r="D32" s="192" t="n"/>
      <c r="E32" s="192" t="n"/>
      <c r="F32" s="192" t="n"/>
      <c r="G32" s="193" t="n"/>
    </row>
    <row r="33" ht="15" customHeight="1" s="172">
      <c r="A33" s="298" t="inlineStr">
        <is>
          <t>连锁3：资产快速查询 → 三类操盘框架 → 买入触发条件 → 待重仓监控</t>
        </is>
      </c>
      <c r="B33" s="192" t="n"/>
      <c r="C33" s="192" t="n"/>
      <c r="D33" s="192" t="n"/>
      <c r="E33" s="192" t="n"/>
      <c r="F33" s="192" t="n"/>
      <c r="G33" s="193" t="n"/>
    </row>
    <row r="34" ht="15" customHeight="1" s="172">
      <c r="A34" s="298" t="inlineStr">
        <is>
          <t>连锁4：持仓盈亏联动 → 机会成本 → 资金分配交叉审核</t>
        </is>
      </c>
      <c r="B34" s="192" t="n"/>
      <c r="C34" s="192" t="n"/>
      <c r="D34" s="192" t="n"/>
      <c r="E34" s="192" t="n"/>
      <c r="F34" s="192" t="n"/>
      <c r="G34" s="193" t="n"/>
    </row>
    <row r="35" ht="15" customHeight="1" s="172">
      <c r="A35" s="298" t="inlineStr">
        <is>
          <t>连锁5：深度分析 → 档案索引 → 档案总索引 → L2可检索</t>
        </is>
      </c>
      <c r="B35" s="192" t="n"/>
      <c r="C35" s="192" t="n"/>
      <c r="D35" s="192" t="n"/>
      <c r="E35" s="192" t="n"/>
      <c r="F35" s="192" t="n"/>
      <c r="G35" s="193" t="n"/>
    </row>
    <row r="36" ht="15" customHeight="1" s="172">
      <c r="A36" s="298" t="inlineStr">
        <is>
          <t>连锁6：周报 → 叙事一致性 → 反常检测 → 前瞻更新 → 持仓调整</t>
        </is>
      </c>
      <c r="B36" s="192" t="n"/>
      <c r="C36" s="192" t="n"/>
      <c r="D36" s="192" t="n"/>
      <c r="E36" s="192" t="n"/>
      <c r="F36" s="192" t="n"/>
      <c r="G36" s="193" t="n"/>
    </row>
    <row r="38" ht="15" customHeight="1" s="172">
      <c r="A38" s="194" t="inlineStr">
        <is>
          <t>共记录 19 个机制 | 最后更新: 2026-06-07</t>
        </is>
      </c>
      <c r="B38" s="192" t="n"/>
      <c r="C38" s="192" t="n"/>
      <c r="D38" s="192" t="n"/>
      <c r="E38" s="192" t="n"/>
      <c r="F38" s="192" t="n"/>
      <c r="G38" s="193" t="n"/>
    </row>
    <row r="40" ht="61.5" customHeight="1" s="172">
      <c r="A40" s="304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1" t="n"/>
    </row>
    <row r="41" ht="16.5" customHeight="1" s="172">
      <c r="A41" s="303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1" t="n"/>
    </row>
    <row r="42" ht="16.5" customHeight="1" s="172">
      <c r="A42" s="297" t="inlineStr">
        <is>
          <t>"跑监控"</t>
        </is>
      </c>
      <c r="B42" s="191" t="n"/>
      <c r="C42" s="298" t="inlineStr">
        <is>
          <t>→ 全流程：抓取→转录→分析→更新看板</t>
        </is>
      </c>
      <c r="D42" s="198" t="n"/>
      <c r="E42" s="191" t="n"/>
    </row>
    <row r="43" ht="16.5" customHeight="1" s="172">
      <c r="A43" s="297" t="inlineStr">
        <is>
          <t>"跑盈亏联动"</t>
        </is>
      </c>
      <c r="B43" s="191" t="n"/>
      <c r="C43" s="302" t="inlineStr">
        <is>
          <t>→ P值×事件链×价格三维一致性检验</t>
        </is>
      </c>
      <c r="D43" s="198" t="n"/>
      <c r="E43" s="191" t="n"/>
    </row>
    <row r="44" ht="16.5" customHeight="1" s="172">
      <c r="A44" s="297" t="inlineStr">
        <is>
          <t>"看机会成本"</t>
        </is>
      </c>
      <c r="B44" s="191" t="n"/>
      <c r="C44" s="298" t="inlineStr">
        <is>
          <t>→ 所有投资选项P×R排序→决定现金分配</t>
        </is>
      </c>
      <c r="D44" s="198" t="n"/>
      <c r="E44" s="191" t="n"/>
    </row>
    <row r="45" ht="16.5" customHeight="1" s="172">
      <c r="A45" s="297" t="inlineStr">
        <is>
          <t>"调出XX"</t>
        </is>
      </c>
      <c r="B45" s="191" t="n"/>
      <c r="C45" s="298" t="inlineStr">
        <is>
          <t>→ 快速调研新资产：三层分析→三关→3选1</t>
        </is>
      </c>
      <c r="D45" s="198" t="n"/>
      <c r="E45" s="191" t="n"/>
    </row>
    <row r="46" ht="16.5" customHeight="1" s="172">
      <c r="A46" s="297" t="inlineStr">
        <is>
          <t>"资金怎么分"</t>
        </is>
      </c>
      <c r="B46" s="191" t="n"/>
      <c r="C46" s="302" t="inlineStr">
        <is>
          <t>→ Hermes+小龙多轮交叉审核→资金分配方案</t>
        </is>
      </c>
      <c r="D46" s="198" t="n"/>
      <c r="E46" s="191" t="n"/>
    </row>
    <row r="47" ht="16.5" customHeight="1" s="172">
      <c r="A47" s="297" t="inlineStr">
        <is>
          <t>"出日报"</t>
        </is>
      </c>
      <c r="B47" s="191" t="n"/>
      <c r="C47" s="298" t="inlineStr">
        <is>
          <t>→ 当前P值总览+净值+事件→邮件推送</t>
        </is>
      </c>
      <c r="D47" s="198" t="n"/>
      <c r="E47" s="191" t="n"/>
    </row>
    <row r="48" ht="16.5" customHeight="1" s="172">
      <c r="A48" s="297" t="inlineStr">
        <is>
          <t>"查档案"</t>
        </is>
      </c>
      <c r="B48" s="191" t="n"/>
      <c r="C48" s="298" t="inlineStr">
        <is>
          <t>→ 查深度分析原始数据+报告→档案总索引/查固定品和人</t>
        </is>
      </c>
      <c r="D48" s="198" t="n"/>
      <c r="E48" s="191" t="n"/>
    </row>
    <row r="50" ht="16.5" customHeight="1" s="172">
      <c r="A50" s="303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1" t="n"/>
    </row>
    <row r="51" ht="16.5" customHeight="1" s="172">
      <c r="A51" s="297" t="inlineStr">
        <is>
          <t>P值拟合</t>
        </is>
      </c>
      <c r="B51" s="191" t="n"/>
      <c r="C51" s="298" t="inlineStr">
        <is>
          <t>→ 每7天自动：验证P值预测准不准→拟合分析Sheet</t>
        </is>
      </c>
      <c r="D51" s="198" t="n"/>
      <c r="E51" s="191" t="n"/>
    </row>
    <row r="52" ht="16.5" customHeight="1" s="172">
      <c r="A52" s="300" t="inlineStr">
        <is>
          <t>周报</t>
        </is>
      </c>
      <c r="B52" s="191" t="n"/>
      <c r="C52" s="298" t="inlineStr">
        <is>
          <t>→ 每周日：叙事串联+梯队复盘→邮件</t>
        </is>
      </c>
      <c r="D52" s="198" t="n"/>
      <c r="E52" s="191" t="n"/>
    </row>
    <row r="53" ht="16.5" customHeight="1" s="172">
      <c r="A53" s="300" t="inlineStr">
        <is>
          <t>持仓周跟踪</t>
        </is>
      </c>
      <c r="B53" s="191" t="n"/>
      <c r="C53" s="298" t="inlineStr">
        <is>
          <t>→ 每周日：叙事一致性→逻辑链→反常→前瞻</t>
        </is>
      </c>
      <c r="D53" s="198" t="n"/>
      <c r="E53" s="191" t="n"/>
    </row>
    <row r="54" ht="16.5" customHeight="1" s="172">
      <c r="A54" s="300" t="inlineStr">
        <is>
          <t>信源评分</t>
        </is>
      </c>
      <c r="B54" s="191" t="n"/>
      <c r="C54" s="298" t="inlineStr">
        <is>
          <t>→ 每14天：校准信源打分→门控方案更新</t>
        </is>
      </c>
      <c r="D54" s="198" t="n"/>
      <c r="E54" s="191" t="n"/>
    </row>
    <row r="56" ht="32.25" customHeight="1" s="172">
      <c r="A56" s="296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1" t="n"/>
    </row>
    <row r="57" ht="16.5" customHeight="1" s="172">
      <c r="A57" s="297" t="inlineStr">
        <is>
          <t>P值旁注</t>
        </is>
      </c>
      <c r="B57" s="191" t="n"/>
      <c r="C57" s="298" t="inlineStr">
        <is>
          <t>→ 说"跑P值拟合"验证准不准</t>
        </is>
      </c>
      <c r="D57" s="198" t="n"/>
      <c r="E57" s="191" t="n"/>
    </row>
    <row r="58" ht="16.5" customHeight="1" s="172">
      <c r="A58" s="300" t="inlineStr">
        <is>
          <t>事件链旁注</t>
        </is>
      </c>
      <c r="B58" s="191" t="n"/>
      <c r="C58" s="298" t="inlineStr">
        <is>
          <t>→ 说"校准信源"更新博主权重</t>
        </is>
      </c>
      <c r="D58" s="198" t="n"/>
      <c r="E58" s="191" t="n"/>
    </row>
    <row r="59" ht="16.5" customHeight="1" s="172">
      <c r="A59" s="300" t="inlineStr">
        <is>
          <t>机会成本旁注</t>
        </is>
      </c>
      <c r="B59" s="191" t="n"/>
      <c r="C59" s="298" t="inlineStr">
        <is>
          <t>→ 说"看机会成本"改排序参数</t>
        </is>
      </c>
      <c r="D59" s="198" t="n"/>
      <c r="E59" s="191" t="n"/>
    </row>
    <row r="60" ht="16.5" customHeight="1" s="172">
      <c r="A60" s="300" t="inlineStr">
        <is>
          <t>待重仓旁注</t>
        </is>
      </c>
      <c r="B60" s="191" t="n"/>
      <c r="C60" s="298" t="inlineStr">
        <is>
          <t>→ 说"资金怎么分"启动交叉审核</t>
        </is>
      </c>
      <c r="D60" s="198" t="n"/>
      <c r="E60" s="191" t="n"/>
    </row>
    <row r="62" ht="48" customHeight="1" s="172">
      <c r="A62" s="303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1" t="n"/>
    </row>
    <row r="63" ht="16.5" customHeight="1" s="172">
      <c r="A63" s="297" t="inlineStr">
        <is>
          <t>P值三层次体系</t>
        </is>
      </c>
      <c r="B63" s="191" t="n"/>
      <c r="C63" s="298" t="inlineStr">
        <is>
          <t>→ 主P(事实)→虚P(观点)→利率折价→有效P</t>
        </is>
      </c>
      <c r="D63" s="198" t="n"/>
      <c r="E63" s="191" t="n"/>
    </row>
    <row r="64" ht="16.5" customHeight="1" s="172">
      <c r="A64" s="300" t="inlineStr">
        <is>
          <t>盈亏比计算</t>
        </is>
      </c>
      <c r="B64" s="191" t="n"/>
      <c r="C64" s="298" t="inlineStr">
        <is>
          <t>→ 确定性空间+溢价×P打折÷下行极限</t>
        </is>
      </c>
      <c r="D64" s="198" t="n"/>
      <c r="E64" s="191" t="n"/>
    </row>
    <row r="65" ht="16.5" customHeight="1" s="172">
      <c r="A65" s="300" t="inlineStr">
        <is>
          <t>三类操盘框架</t>
        </is>
      </c>
      <c r="B65" s="191" t="n"/>
      <c r="C65" s="298" t="inlineStr">
        <is>
          <t>→ 右侧(等信号)/左侧(低估值拿)/HALO(方向性看)</t>
        </is>
      </c>
      <c r="D65" s="198" t="n"/>
      <c r="E65" s="191" t="n"/>
    </row>
    <row r="66" ht="16.5" customHeight="1" s="172">
      <c r="A66" s="300" t="inlineStr">
        <is>
          <t>买入触发条件</t>
        </is>
      </c>
      <c r="B66" s="191" t="n"/>
      <c r="C66" s="298" t="inlineStr">
        <is>
          <t>→ 通用买入信号模板（各品种不同）</t>
        </is>
      </c>
      <c r="D66" s="198" t="n"/>
      <c r="E66" s="191" t="n"/>
    </row>
    <row r="67" ht="16.5" customHeight="1" s="172">
      <c r="A67" s="300" t="inlineStr">
        <is>
          <t>信息源到信念更新</t>
        </is>
      </c>
      <c r="B67" s="191" t="n"/>
      <c r="C67" s="298" t="inlineStr">
        <is>
          <t>→ 信息→事件→贝叶斯P值→仓位影响</t>
        </is>
      </c>
      <c r="D67" s="198" t="n"/>
      <c r="E67" s="191" t="n"/>
    </row>
    <row r="68" ht="16.5" customHeight="1" s="172">
      <c r="A68" s="300" t="inlineStr">
        <is>
          <t>宏观传导框架</t>
        </is>
      </c>
      <c r="B68" s="191" t="n"/>
      <c r="C68" s="298" t="inlineStr">
        <is>
          <t>→ 宏观事件→中观→微观→持仓影响</t>
        </is>
      </c>
      <c r="D68" s="198" t="n"/>
      <c r="E68" s="191" t="n"/>
    </row>
    <row r="69" ht="16.5" customHeight="1" s="172">
      <c r="A69" s="300" t="inlineStr">
        <is>
          <t>估值方法论</t>
        </is>
      </c>
      <c r="B69" s="191" t="n"/>
      <c r="C69" s="302" t="inlineStr">
        <is>
          <t>→ PEG-PB/DCF/市净率等路由表</t>
        </is>
      </c>
      <c r="D69" s="198" t="n"/>
      <c r="E69" s="191" t="n"/>
    </row>
    <row r="70" ht="16.5" customHeight="1" s="172">
      <c r="A70" s="300" t="inlineStr">
        <is>
          <t>贝叶斯P值赔率校准</t>
        </is>
      </c>
      <c r="B70" s="191" t="n"/>
      <c r="C70" s="302" t="inlineStr">
        <is>
          <t>→ P值系统的完整数学基础</t>
        </is>
      </c>
      <c r="D70" s="198" t="n"/>
      <c r="E70" s="191" t="n"/>
    </row>
    <row r="71" ht="16.5" customHeight="1" s="172">
      <c r="A71" s="300" t="inlineStr">
        <is>
          <t>地缘事件监控</t>
        </is>
      </c>
      <c r="B71" s="191" t="n"/>
      <c r="C71" s="298" t="inlineStr">
        <is>
          <t>→ 国际事件→板块映射表</t>
        </is>
      </c>
      <c r="D71" s="198" t="n"/>
      <c r="E71" s="191" t="n"/>
    </row>
    <row r="72" ht="16.5" customHeight="1" s="172">
      <c r="A72" s="300" t="inlineStr">
        <is>
          <t>投资仓位管理机制v3</t>
        </is>
      </c>
      <c r="B72" s="191" t="n"/>
      <c r="C72" s="298" t="inlineStr">
        <is>
          <t>→ 仓位管理规则</t>
        </is>
      </c>
      <c r="D72" s="198" t="n"/>
      <c r="E72" s="191" t="n"/>
    </row>
    <row r="73" ht="16.5" customHeight="1" s="172">
      <c r="A73" s="300" t="inlineStr">
        <is>
          <t>基金估值CDP提取</t>
        </is>
      </c>
      <c r="B73" s="191" t="n"/>
      <c r="C73" s="298" t="inlineStr">
        <is>
          <t>→ 蛋卷基金PE/PB百分位</t>
        </is>
      </c>
      <c r="D73" s="198" t="n"/>
      <c r="E73" s="191" t="n"/>
    </row>
    <row r="74" ht="16.5" customHeight="1" s="172">
      <c r="A74" s="300" t="inlineStr">
        <is>
          <t>利率数据查询</t>
        </is>
      </c>
      <c r="B74" s="191" t="n"/>
      <c r="C74" s="298" t="inlineStr">
        <is>
          <t>→ 浏览器CDP查利率(唯一通路)</t>
        </is>
      </c>
      <c r="D74" s="198" t="n"/>
      <c r="E74" s="191" t="n"/>
    </row>
    <row r="76" ht="16.5" customHeight="1" s="172">
      <c r="A76" s="303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1" t="n"/>
    </row>
    <row r="77" ht="43.5" customHeight="1" s="172">
      <c r="A77" s="302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1" t="n"/>
    </row>
    <row r="78" ht="43.5" customHeight="1" s="172">
      <c r="A78" s="302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1" t="n"/>
    </row>
    <row r="79" ht="43.5" customHeight="1" s="172">
      <c r="A79" s="302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1" t="n"/>
    </row>
    <row r="80" ht="29.25" customHeight="1" s="172">
      <c r="A80" s="302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1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2">
      <c r="A1" s="305" t="inlineStr">
        <is>
          <t>🔴🔴🔴 战略级虚P信号池 + 现金策略联动（2026-06-04）🔴🔴🔴</t>
        </is>
      </c>
    </row>
    <row r="2" ht="143.25" customHeight="1" s="172">
      <c r="A2" s="255" t="inlineStr">
        <is>
          <t>虚P规则：未落地→记虚P→不加实P→等落地转实P。此板块锁定大部分现金，与机会成本联动分析。</t>
        </is>
      </c>
    </row>
    <row r="3" ht="15" customHeight="1" s="172">
      <c r="A3" s="306" t="inlineStr">
        <is>
          <t>一、三源信号详情</t>
        </is>
      </c>
    </row>
    <row r="4" ht="16.5" customHeight="1" s="172">
      <c r="A4" s="307" t="inlineStr">
        <is>
          <t>来源</t>
        </is>
      </c>
      <c r="B4" s="307" t="inlineStr">
        <is>
          <t>核心观点</t>
        </is>
      </c>
      <c r="C4" s="307" t="inlineStr">
        <is>
          <t>与你策略契合</t>
        </is>
      </c>
      <c r="D4" s="307" t="inlineStr">
        <is>
          <t>虚P方向</t>
        </is>
      </c>
      <c r="E4" s="307" t="inlineStr">
        <is>
          <t>落地条件</t>
        </is>
      </c>
      <c r="F4" s="307" t="inlineStr">
        <is>
          <t>状态</t>
        </is>
      </c>
      <c r="G4" s="307" t="inlineStr">
        <is>
          <t>权重</t>
        </is>
      </c>
      <c r="H4" s="307" t="inlineStr">
        <is>
          <t>备注</t>
        </is>
      </c>
    </row>
    <row r="5" ht="171" customHeight="1" s="172">
      <c r="A5" s="308" t="inlineStr">
        <is>
          <t>达利欧
Bloomberg 6/3</t>
        </is>
      </c>
      <c r="B5" s="308" t="inlineStr">
        <is>
          <t>AI泡沫65-75%概率年底破
"财富转现金=刺破泡沫"
技术不会失败
类比dotcom
基建投入&gt;&gt;收入</t>
        </is>
      </c>
      <c r="C5" s="309" t="inlineStr">
        <is>
          <t>完全契合
等中期选举大跌
现金那时候用
回调后大仓位进</t>
        </is>
      </c>
      <c r="D5" s="308" t="inlineStr">
        <is>
          <t>芯片-2pp
恒科-1pp
(虚P)</t>
        </is>
      </c>
      <c r="E5" s="308" t="inlineStr">
        <is>
          <t>七姐妹&gt;15%回调
或破200日均线</t>
        </is>
      </c>
      <c r="F5" s="310" t="inlineStr">
        <is>
          <t>未落地</t>
        </is>
      </c>
      <c r="G5" s="311" t="inlineStr">
        <is>
          <t>极高
5星</t>
        </is>
      </c>
      <c r="H5" s="308" t="inlineStr">
        <is>
          <t>与你100%一致
回调=买入机会</t>
        </is>
      </c>
    </row>
    <row r="6" ht="114.75" customHeight="1" s="172">
      <c r="A6" s="308" t="inlineStr">
        <is>
          <t>李大霄
金融界 6/4</t>
        </is>
      </c>
      <c r="B6" s="308" t="inlineStr">
        <is>
          <t>美股窄牛宽熊
仅20只创新高
CAPE40倍
权重极度集中
IPO抽血</t>
        </is>
      </c>
      <c r="C6" s="309" t="inlineStr">
        <is>
          <t>高度契合
确认美股风险
现金策略正确</t>
        </is>
      </c>
      <c r="D6" s="308" t="inlineStr">
        <is>
          <t>恒科-2pp
芯片-1pp
(虚P)</t>
        </is>
      </c>
      <c r="E6" s="308" t="inlineStr">
        <is>
          <t>纳指破200日均线
多数成分股下跌</t>
        </is>
      </c>
      <c r="F6" s="310" t="inlineStr">
        <is>
          <t>未落地</t>
        </is>
      </c>
      <c r="G6" s="308" t="inlineStr">
        <is>
          <t>中高
3星</t>
        </is>
      </c>
      <c r="H6" s="308" t="inlineStr">
        <is>
          <t>数据靠谱
结论偏激进</t>
        </is>
      </c>
    </row>
    <row r="7" ht="29.25" customHeight="1" s="172">
      <c r="A7" s="308" t="inlineStr">
        <is>
          <t>知乎专栏
6/4</t>
        </is>
      </c>
      <c r="B7" s="312" t="n"/>
      <c r="C7" s="312" t="n"/>
      <c r="D7" s="312" t="n"/>
      <c r="E7" s="312" t="n"/>
      <c r="F7" s="312" t="n"/>
      <c r="G7" s="312" t="n"/>
      <c r="H7" s="313" t="n"/>
    </row>
    <row r="9" ht="15" customHeight="1" s="172">
      <c r="A9" s="306" t="inlineStr">
        <is>
          <t>二、三源互锁验证</t>
        </is>
      </c>
    </row>
    <row r="10" ht="15" customHeight="1" s="172">
      <c r="A10" s="314" t="inlineStr">
        <is>
          <t>互锁组合</t>
        </is>
      </c>
      <c r="B10" s="314" t="inlineStr">
        <is>
          <t>关系</t>
        </is>
      </c>
      <c r="C10" s="314" t="inlineStr">
        <is>
          <t>分析</t>
        </is>
      </c>
      <c r="D10" s="314" t="inlineStr">
        <is>
          <t>信号强度</t>
        </is>
      </c>
    </row>
    <row r="11" ht="57.75" customHeight="1" s="172">
      <c r="A11" s="315" t="inlineStr">
        <is>
          <t>达利欧×李大霄</t>
        </is>
      </c>
      <c r="B11" s="316" t="inlineStr">
        <is>
          <t>✅强印证</t>
        </is>
      </c>
      <c r="C11" s="308" t="inlineStr">
        <is>
          <t>AI泡沫+窄牛宽熊=同一现象两角度</t>
        </is>
      </c>
      <c r="D11" s="308" t="inlineStr">
        <is>
          <t>🔴强信号</t>
        </is>
      </c>
    </row>
    <row r="12" ht="43.5" customHeight="1" s="172">
      <c r="A12" s="315" t="inlineStr">
        <is>
          <t>达利欧×知乎</t>
        </is>
      </c>
      <c r="B12" s="317" t="inlineStr">
        <is>
          <t>⚠️部分矛盾</t>
        </is>
      </c>
      <c r="C12" s="308" t="inlineStr">
        <is>
          <t>达看流动性vs知乎看估值</t>
        </is>
      </c>
      <c r="D12" s="308" t="inlineStr">
        <is>
          <t>🟡中性</t>
        </is>
      </c>
    </row>
    <row r="13" ht="15" customHeight="1" s="172">
      <c r="A13" s="315" t="inlineStr">
        <is>
          <t>三源共识</t>
        </is>
      </c>
      <c r="B13" s="312" t="n"/>
      <c r="C13" s="312" t="n"/>
      <c r="D13" s="312" t="n"/>
      <c r="E13" s="312" t="n"/>
      <c r="F13" s="312" t="n"/>
      <c r="G13" s="312" t="n"/>
      <c r="H13" s="313" t="n"/>
    </row>
    <row r="15" ht="15" customHeight="1" s="172">
      <c r="A15" s="318" t="inlineStr">
        <is>
          <t>三、现金策略联动（锁定大部分现金储备）</t>
        </is>
      </c>
    </row>
    <row r="16" ht="143.25" customHeight="1" s="172">
      <c r="A16" s="255" t="inlineStr">
        <is>
          <t>三源联动→达利欧65-75%概率年底AI回调+中期选举历史跌一波→锁定大部分现金→等11月回调入场</t>
        </is>
      </c>
    </row>
    <row r="17" ht="15" customHeight="1" s="172">
      <c r="A17" s="314" t="inlineStr">
        <is>
          <t>维度</t>
        </is>
      </c>
    </row>
    <row r="18" ht="43.5" customHeight="1" s="172">
      <c r="A18" s="308" t="inlineStr">
        <is>
          <t>现金锁定</t>
        </is>
      </c>
      <c r="B18" s="308" t="inlineStr">
        <is>
          <t>大部分现金(60-70%)锁定等待</t>
        </is>
      </c>
      <c r="C18" s="308" t="inlineStr">
        <is>
          <t>→当前可投资金大幅减少</t>
        </is>
      </c>
    </row>
    <row r="19" ht="43.5" customHeight="1" s="172">
      <c r="A19" s="308" t="inlineStr">
        <is>
          <t>等待窗口</t>
        </is>
      </c>
      <c r="B19" s="308" t="inlineStr">
        <is>
          <t>2026年11月中期选举前后</t>
        </is>
      </c>
      <c r="C19" s="308" t="inlineStr">
        <is>
          <t>→约5个月等待期</t>
        </is>
      </c>
    </row>
    <row r="20" ht="43.5" customHeight="1" s="172">
      <c r="A20" s="308" t="inlineStr">
        <is>
          <t>触发条件</t>
        </is>
      </c>
      <c r="B20" s="308" t="inlineStr">
        <is>
          <t>美股跌一波+AI回调&gt;15%</t>
        </is>
      </c>
      <c r="C20" s="308" t="inlineStr">
        <is>
          <t>→达利欧65-75%概率事件</t>
        </is>
      </c>
    </row>
    <row r="21" ht="43.5" customHeight="1" s="172">
      <c r="A21" s="308" t="inlineStr">
        <is>
          <t>入场标的</t>
        </is>
      </c>
      <c r="B21" s="308" t="inlineStr">
        <is>
          <t>堆叠：长电科技+通富微电</t>
        </is>
      </c>
      <c r="C21" s="308" t="inlineStr">
        <is>
          <t>→国内确定性不受美股影响</t>
        </is>
      </c>
    </row>
    <row r="22" ht="43.5" customHeight="1" s="172">
      <c r="A22" s="308" t="inlineStr">
        <is>
          <t>机会成本</t>
        </is>
      </c>
      <c r="B22" s="308" t="inlineStr">
        <is>
          <t>持有现金5个月vs错过短期行情</t>
        </is>
      </c>
      <c r="C22" s="308" t="inlineStr">
        <is>
          <t>→见下方机会成本联动</t>
        </is>
      </c>
    </row>
    <row r="23" ht="15" customHeight="1" s="172">
      <c r="A23" s="308" t="inlineStr">
        <is>
          <t>下行保护</t>
        </is>
      </c>
      <c r="B23" s="312" t="n"/>
      <c r="C23" s="312" t="n"/>
      <c r="D23" s="312" t="n"/>
      <c r="E23" s="312" t="n"/>
      <c r="F23" s="312" t="n"/>
      <c r="G23" s="312" t="n"/>
      <c r="H23" s="313" t="n"/>
    </row>
    <row r="25" ht="16.5" customHeight="1" s="172">
      <c r="A25" s="318" t="inlineStr">
        <is>
          <t>四、机会成本联动分析（现金锁定vs其他选项）</t>
        </is>
      </c>
    </row>
    <row r="26" ht="16.5" customHeight="1" s="172">
      <c r="A26" s="314" t="inlineStr">
        <is>
          <t>选项</t>
        </is>
      </c>
      <c r="B26" s="314" t="inlineStr">
        <is>
          <t>P值</t>
        </is>
      </c>
      <c r="C26" s="314" t="inlineStr">
        <is>
          <t>盈亏比</t>
        </is>
      </c>
      <c r="D26" s="314" t="inlineStr">
        <is>
          <t>Score</t>
        </is>
      </c>
      <c r="E26" s="314" t="inlineStr">
        <is>
          <t>现金锁定影响</t>
        </is>
      </c>
      <c r="F26" s="314" t="inlineStr">
        <is>
          <t>建议</t>
        </is>
      </c>
      <c r="G26" s="314" t="inlineStr">
        <is>
          <t>判断</t>
        </is>
      </c>
    </row>
    <row r="27" ht="43.5" customHeight="1" s="172">
      <c r="A27" s="308" t="inlineStr">
        <is>
          <t>长电科技</t>
        </is>
      </c>
      <c r="B27" s="308" t="inlineStr">
        <is>
          <t>75%</t>
        </is>
      </c>
      <c r="C27" s="308" t="inlineStr">
        <is>
          <t>4.5:1</t>
        </is>
      </c>
      <c r="D27" s="308" t="inlineStr">
        <is>
          <t>3.375</t>
        </is>
      </c>
      <c r="E27" s="308" t="inlineStr">
        <is>
          <t>等回调大仓位
现金锁定中</t>
        </is>
      </c>
      <c r="F27" s="308" t="inlineStr">
        <is>
          <t>暂不动等11月</t>
        </is>
      </c>
      <c r="G27" s="311" t="inlineStr">
        <is>
          <t>🔴最高优先</t>
        </is>
      </c>
    </row>
    <row r="28" ht="43.5" customHeight="1" s="172">
      <c r="A28" s="308" t="inlineStr">
        <is>
          <t>通富微电</t>
        </is>
      </c>
      <c r="B28" s="308" t="inlineStr">
        <is>
          <t>75%</t>
        </is>
      </c>
      <c r="C28" s="308" t="inlineStr">
        <is>
          <t>4.0:1</t>
        </is>
      </c>
      <c r="D28" s="308" t="inlineStr">
        <is>
          <t>3.000</t>
        </is>
      </c>
      <c r="E28" s="308" t="inlineStr">
        <is>
          <t>等回调大仓位
现金锁定中</t>
        </is>
      </c>
      <c r="F28" s="308" t="inlineStr">
        <is>
          <t>暂不动等11月</t>
        </is>
      </c>
      <c r="G28" s="311" t="inlineStr">
        <is>
          <t>🔴最高优先</t>
        </is>
      </c>
    </row>
    <row r="29" ht="129" customHeight="1" s="172">
      <c r="A29" s="308" t="inlineStr">
        <is>
          <t>养殖</t>
        </is>
      </c>
      <c r="B29" s="308" t="inlineStr">
        <is>
          <t>70%</t>
        </is>
      </c>
      <c r="C29" s="308" t="inlineStr">
        <is>
          <t>2.0:1</t>
        </is>
      </c>
      <c r="D29" s="308" t="inlineStr">
        <is>
          <t>1.400</t>
        </is>
      </c>
      <c r="E29" s="308" t="inlineStr">
        <is>
          <t>已持仓不需现金 | 6/5 芳姐：低价抄底母猪，行业融资枯竭，等待母猪血流成河才是最佳买点</t>
        </is>
      </c>
      <c r="F29" s="308" t="inlineStr">
        <is>
          <t>继续持有</t>
        </is>
      </c>
      <c r="G29" s="309" t="inlineStr">
        <is>
          <t>✅已配置</t>
        </is>
      </c>
    </row>
    <row r="30" ht="129" customHeight="1" s="172">
      <c r="A30" s="308" t="inlineStr">
        <is>
          <t>电池</t>
        </is>
      </c>
      <c r="B30" s="308" t="inlineStr">
        <is>
          <t>65%</t>
        </is>
      </c>
      <c r="C30" s="308" t="inlineStr">
        <is>
          <t>2.0:1</t>
        </is>
      </c>
      <c r="D30" s="308" t="inlineStr">
        <is>
          <t>1.300</t>
        </is>
      </c>
      <c r="E30" s="308" t="inlineStr">
        <is>
          <t>已持仓不需现金 | 6/5 闻号说经济：厄尔尼诺80%概率+AI用电爆发→电力/能源受益</t>
        </is>
      </c>
      <c r="F30" s="308" t="inlineStr">
        <is>
          <t>继续持有</t>
        </is>
      </c>
      <c r="G30" s="309" t="inlineStr">
        <is>
          <t>✅已配置</t>
        </is>
      </c>
    </row>
    <row r="31" ht="43.5" customHeight="1" s="172">
      <c r="A31" s="308" t="inlineStr">
        <is>
          <t>核电</t>
        </is>
      </c>
      <c r="B31" s="308" t="inlineStr">
        <is>
          <t>52%</t>
        </is>
      </c>
      <c r="C31" s="308" t="inlineStr">
        <is>
          <t>1.5:1</t>
        </is>
      </c>
      <c r="D31" s="308" t="inlineStr">
        <is>
          <t>0.780</t>
        </is>
      </c>
      <c r="E31" s="308" t="inlineStr">
        <is>
          <t>10年维度
小仓试水可行</t>
        </is>
      </c>
      <c r="F31" s="308" t="inlineStr">
        <is>
          <t>不影响现金策略</t>
        </is>
      </c>
      <c r="G31" s="319" t="inlineStr">
        <is>
          <t>🟡长期观察</t>
        </is>
      </c>
    </row>
    <row r="32" ht="15" customHeight="1" s="172">
      <c r="A32" s="308" t="inlineStr">
        <is>
          <t>存储</t>
        </is>
      </c>
      <c r="B32" s="308" t="inlineStr">
        <is>
          <t>55%</t>
        </is>
      </c>
      <c r="C32" s="308" t="inlineStr">
        <is>
          <t>1.0:1</t>
        </is>
      </c>
      <c r="D32" s="308" t="inlineStr">
        <is>
          <t>0.550</t>
        </is>
      </c>
      <c r="E32" s="308" t="inlineStr">
        <is>
          <t>已降级</t>
        </is>
      </c>
      <c r="F32" s="308" t="inlineStr">
        <is>
          <t>不动</t>
        </is>
      </c>
      <c r="G32" s="311" t="inlineStr">
        <is>
          <t>❌已降级</t>
        </is>
      </c>
    </row>
    <row r="33" ht="15" customHeight="1" s="172">
      <c r="A33" s="308" t="inlineStr">
        <is>
          <t>纯现金5月</t>
        </is>
      </c>
      <c r="B33" s="312" t="n"/>
      <c r="C33" s="312" t="n"/>
      <c r="D33" s="312" t="n"/>
      <c r="E33" s="312" t="n"/>
      <c r="F33" s="312" t="n"/>
      <c r="G33" s="312" t="n"/>
      <c r="H33" s="313" t="n"/>
    </row>
    <row r="34" ht="178.5" customHeight="1" s="172">
      <c r="A34" s="180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2">
      <c r="A35" s="320" t="inlineStr">
        <is>
          <t>五、虚P→实P转换条件 &amp; 操作触发</t>
        </is>
      </c>
      <c r="B35" s="312" t="n"/>
      <c r="C35" s="312" t="n"/>
      <c r="D35" s="312" t="n"/>
      <c r="E35" s="312" t="n"/>
      <c r="F35" s="312" t="n"/>
      <c r="G35" s="312" t="n"/>
      <c r="H35" s="313" t="n"/>
    </row>
    <row r="36" ht="51.75" customHeight="1" s="172">
      <c r="A36" s="307" t="inlineStr">
        <is>
          <t>条件</t>
        </is>
      </c>
      <c r="B36" s="314" t="inlineStr">
        <is>
          <t>触发信号</t>
        </is>
      </c>
      <c r="C36" s="307" t="inlineStr">
        <is>
          <t>影响</t>
        </is>
      </c>
      <c r="D36" s="307" t="inlineStr">
        <is>
          <t>操作</t>
        </is>
      </c>
      <c r="E36" s="180" t="inlineStr">
        <is>
          <t>2026-05-30 宋鸿兵：海峡封锁→能源成本飙升</t>
        </is>
      </c>
      <c r="F36" s="180" t="inlineStr">
        <is>
          <t>2026-05-30 岩松：存储1-2年产能饱和</t>
        </is>
      </c>
      <c r="G36" s="180" t="inlineStr">
        <is>
          <t>2026-05-30 宋鸿兵：30年美债破5%双红线</t>
        </is>
      </c>
    </row>
    <row r="37" ht="57.75" customHeight="1" s="172">
      <c r="A37" s="321" t="inlineStr">
        <is>
          <t>达利欧落地</t>
        </is>
      </c>
      <c r="B37" s="308" t="inlineStr">
        <is>
          <t>七姐妹&gt;15%回调或破200日均线</t>
        </is>
      </c>
      <c r="C37" s="308" t="inlineStr">
        <is>
          <t>芯片/恒科虚P转实P</t>
        </is>
      </c>
      <c r="D37" s="308" t="inlineStr">
        <is>
          <t>现金解锁→大仓位进堆叠</t>
        </is>
      </c>
    </row>
    <row r="38" ht="43.5" customHeight="1" s="172">
      <c r="A38" s="319" t="inlineStr">
        <is>
          <t>李大霄落地</t>
        </is>
      </c>
      <c r="B38" s="308" t="inlineStr">
        <is>
          <t>多数成分股下跌+指数拐头</t>
        </is>
      </c>
      <c r="C38" s="308" t="inlineStr">
        <is>
          <t>恒科/芯片虚P转实P</t>
        </is>
      </c>
      <c r="D38" s="308" t="inlineStr">
        <is>
          <t>确认系统性风险→入场</t>
        </is>
      </c>
    </row>
    <row r="39" ht="29.25" customHeight="1" s="172">
      <c r="A39" s="322" t="inlineStr">
        <is>
          <t>中期选举</t>
        </is>
      </c>
      <c r="B39" s="322" t="inlineStr">
        <is>
          <t>11月美股跌一波</t>
        </is>
      </c>
      <c r="C39" s="322" t="inlineStr">
        <is>
          <t>你的策略触发</t>
        </is>
      </c>
      <c r="D39" s="322" t="inlineStr">
        <is>
          <t>现金→长电+通富</t>
        </is>
      </c>
      <c r="E39" s="307" t="inlineStr">
        <is>
          <t>落地条件</t>
        </is>
      </c>
      <c r="F39" s="307" t="inlineStr">
        <is>
          <t>状态</t>
        </is>
      </c>
      <c r="G39" s="307" t="inlineStr">
        <is>
          <t>权重</t>
        </is>
      </c>
      <c r="H39" s="307" t="inlineStr">
        <is>
          <t>备注</t>
        </is>
      </c>
    </row>
    <row r="40" ht="15" customHeight="1" s="172">
      <c r="A40" s="308" t="inlineStr">
        <is>
          <t>堆叠独立</t>
        </is>
      </c>
      <c r="B40" s="312" t="n"/>
      <c r="C40" s="312" t="n"/>
      <c r="D40" s="312" t="n"/>
      <c r="E40" s="312" t="n"/>
      <c r="F40" s="312" t="n"/>
      <c r="G40" s="312" t="n"/>
      <c r="H40" s="313" t="n"/>
    </row>
    <row r="41" ht="86.25" customHeight="1" s="172">
      <c r="A41" s="308" t="inlineStr">
        <is>
          <t>李大霄
金融界 6/4</t>
        </is>
      </c>
      <c r="B41" s="308" t="inlineStr">
        <is>
          <t>美股窄牛宽熊
仅20只创新高
CAPE40倍→泡沫</t>
        </is>
      </c>
      <c r="C41" s="309" t="inlineStr">
        <is>
          <t>🟢高度契合
确认美股风险
现金策略正确</t>
        </is>
      </c>
      <c r="D41" s="308" t="inlineStr">
        <is>
          <t>美股全市场↓
港股连带承压</t>
        </is>
      </c>
      <c r="E41" s="308" t="inlineStr">
        <is>
          <t>纳指破200日均线
或多数成分股下跌</t>
        </is>
      </c>
      <c r="F41" s="310" t="inlineStr">
        <is>
          <t>⏳未落地
(虚P状态)</t>
        </is>
      </c>
      <c r="G41" s="308" t="inlineStr">
        <is>
          <t>⭐⭐⭐
中高</t>
        </is>
      </c>
      <c r="H41" s="308" t="inlineStr">
        <is>
          <t>6/4三源联动:
恒科-2pp
芯片-1pp
→已记虚P
未转实P</t>
        </is>
      </c>
    </row>
    <row r="42" ht="396" customHeight="1" s="172">
      <c r="A42" s="323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12" t="n"/>
      <c r="C42" s="312" t="n"/>
      <c r="D42" s="312" t="n"/>
      <c r="E42" s="312" t="n"/>
      <c r="F42" s="312" t="n"/>
      <c r="G42" s="312" t="n"/>
      <c r="H42" s="313" t="n"/>
    </row>
    <row r="43" ht="15" customHeight="1" s="172">
      <c r="A43" s="171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2">
      <c r="A44" s="324" t="inlineStr">
        <is>
          <t>🔗 三源互锁验证</t>
        </is>
      </c>
    </row>
    <row r="45" ht="95.25" customHeight="1" s="172">
      <c r="A45" s="173" t="inlineStr">
        <is>
          <t>达利欧 × 李大霄</t>
        </is>
      </c>
      <c r="C45" s="325" t="inlineStr">
        <is>
          <t>✅ 强印证</t>
        </is>
      </c>
      <c r="E45" s="209" t="inlineStr">
        <is>
          <t>AI泡沫+窄牛宽熊=同一现象两角度，互相确认</t>
        </is>
      </c>
    </row>
    <row r="46" ht="111" customHeight="1" s="172">
      <c r="A46" s="173" t="inlineStr">
        <is>
          <t>达利欧 × 知乎</t>
        </is>
      </c>
      <c r="C46" s="326" t="inlineStr">
        <is>
          <t>⚠️ 部分矛盾</t>
        </is>
      </c>
      <c r="E46" s="209" t="inlineStr">
        <is>
          <t>达利欧看流动性(泡沫将破) vs 知乎看估值(PE中值安全)</t>
        </is>
      </c>
    </row>
    <row r="47" ht="126.75" customHeight="1" s="172">
      <c r="A47" s="173" t="inlineStr">
        <is>
          <t>三源共识</t>
        </is>
      </c>
      <c r="C47" s="327" t="inlineStr">
        <is>
          <t>🔴 核心共识</t>
        </is>
      </c>
      <c r="E47" s="209" t="inlineStr">
        <is>
          <t>AI龙头估值偏高+市场极度集中+中小盘已熊 → 短期风险&gt;机会</t>
        </is>
      </c>
    </row>
    <row r="49" ht="16.5" customHeight="1" s="172">
      <c r="A49" s="318" t="inlineStr">
        <is>
          <t>🎯 结论（虚P→实P转换条件）</t>
        </is>
      </c>
    </row>
    <row r="50" ht="95.25" customHeight="1" s="172">
      <c r="A50" s="173" t="inlineStr">
        <is>
          <t>① 达利欧信号落地条件</t>
        </is>
      </c>
      <c r="C50" s="209" t="inlineStr">
        <is>
          <t>纳指七姐妹出现&gt;15%回调 或 纳指破200日均线</t>
        </is>
      </c>
      <c r="E50" s="328" t="inlineStr">
        <is>
          <t>→ 芯片/恒科虚P转实P → 确认减仓信号</t>
        </is>
      </c>
    </row>
    <row r="51" ht="79.5" customHeight="1" s="172">
      <c r="A51" s="173" t="inlineStr">
        <is>
          <t>② 李大霄信号落地条件</t>
        </is>
      </c>
      <c r="C51" s="209" t="inlineStr">
        <is>
          <t>纳指多数成分股连续下跌+指数拐头</t>
        </is>
      </c>
      <c r="E51" s="328" t="inlineStr">
        <is>
          <t>→ 恒科/芯片虚P转实P → 确认美股系统性风险</t>
        </is>
      </c>
    </row>
    <row r="52" ht="79.5" customHeight="1" s="172">
      <c r="A52" s="173" t="inlineStr">
        <is>
          <t>③ 你的策略触发条件</t>
        </is>
      </c>
      <c r="C52" s="209" t="inlineStr">
        <is>
          <t>中期选举(11月)美股跌一波 + AI回调&gt;15%</t>
        </is>
      </c>
      <c r="E52" s="328" t="inlineStr">
        <is>
          <t>→ 现金入场 → 大仓位进堆叠/先进封装</t>
        </is>
      </c>
    </row>
    <row r="53" ht="79.5" customHeight="1" s="172">
      <c r="A53" s="173" t="inlineStr">
        <is>
          <t>④ 堆叠赛道独立性</t>
        </is>
      </c>
      <c r="C53" s="209" t="inlineStr">
        <is>
          <t>国内产业确定性，三源均未提及国内封测</t>
        </is>
      </c>
      <c r="E53" s="328" t="inlineStr">
        <is>
          <t>→ 不受美股泡沫直接影响 → 等回调后优先配置</t>
        </is>
      </c>
    </row>
    <row r="55" ht="258.75" customHeight="1" s="172">
      <c r="A55" s="329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2">
      <c r="A56" s="180" t="inlineStr">
        <is>
          <t>🤖 人形机器人半年事件链</t>
        </is>
      </c>
    </row>
    <row r="58" ht="77.25" customHeight="1" s="172">
      <c r="A58" s="180" t="inlineStr">
        <is>
          <t>2026-03-23 机器人ETF暴跌-4.1%至0.909：市场恐慌+AI回调</t>
        </is>
      </c>
    </row>
    <row r="59" ht="77.25" customHeight="1" s="172">
      <c r="A59" s="180" t="inlineStr">
        <is>
          <t>2026-04-08 机器人ETF暴涨+6.4%至0.967：人形机器人产业催化</t>
        </is>
      </c>
    </row>
    <row r="60" ht="102.75" customHeight="1" s="172">
      <c r="A60" s="180" t="inlineStr">
        <is>
          <t>2026-05-07~22 机器人连续上涨：ETF 1.056→1.216(+15%)，宇树科技73天过会</t>
        </is>
      </c>
    </row>
    <row r="61" ht="102.75" customHeight="1" s="172">
      <c r="A61" s="180" t="inlineStr">
        <is>
          <t>2026-05-25~06-02 机器人回调：1.216→1.122(-7.7%)，仍处强势区间</t>
        </is>
      </c>
    </row>
    <row r="62" ht="141" customHeight="1" s="172">
      <c r="A62" s="330" t="inlineStr">
        <is>
          <t>2026-06-04 【保持观察】霍尔木兹海峡Day 12：伊朗暂停谈判+美众议院限制动武，WTI $96→$91-93回落，方向趋于缓和</t>
        </is>
      </c>
      <c r="B62" s="273" t="n"/>
      <c r="C62" s="273" t="n"/>
      <c r="D62" s="273" t="n"/>
      <c r="E62" s="273" t="n"/>
      <c r="F62" s="273" t="n"/>
      <c r="G62" s="273" t="n"/>
      <c r="H62" s="273" t="n"/>
    </row>
    <row r="63" ht="15" customHeight="1" s="172">
      <c r="A63" s="277" t="inlineStr">
        <is>
          <t>🔔 待重仓监控</t>
        </is>
      </c>
    </row>
    <row r="64" ht="15" customHeight="1" s="172">
      <c r="A64" s="331" t="inlineStr">
        <is>
          <t>标的</t>
        </is>
      </c>
      <c r="B64" s="331" t="inlineStr">
        <is>
          <t>状态</t>
        </is>
      </c>
      <c r="C64" s="331" t="inlineStr">
        <is>
          <t>当前P/价格</t>
        </is>
      </c>
      <c r="D64" s="331" t="inlineStr">
        <is>
          <t>最新信号</t>
        </is>
      </c>
      <c r="E64" s="331" t="inlineStr">
        <is>
          <t>触发条件</t>
        </is>
      </c>
      <c r="F64" s="331" t="inlineStr">
        <is>
          <t>距离触发</t>
        </is>
      </c>
      <c r="G64" s="331" t="inlineStr">
        <is>
          <t>跟踪日期</t>
        </is>
      </c>
    </row>
    <row r="65" ht="64.5" customHeight="1" s="172">
      <c r="A65" s="180" t="inlineStr">
        <is>
          <t>玻璃基板</t>
        </is>
      </c>
      <c r="B65" s="180" t="inlineStr">
        <is>
          <t>深南电路002916/兴森科技002436</t>
        </is>
      </c>
      <c r="C65" s="180" t="inlineStr">
        <is>
          <t>观察中</t>
        </is>
      </c>
      <c r="D65" s="180" t="inlineStr">
        <is>
          <t>蒋宇飞：玻璃基板大规模应用2028年，5-10年赛道</t>
        </is>
      </c>
      <c r="E65" s="180" t="inlineStr">
        <is>
          <t>AI基建+国产替代加速</t>
        </is>
      </c>
      <c r="F65" s="180" t="inlineStr">
        <is>
          <t>中长期</t>
        </is>
      </c>
      <c r="G65" s="180" t="inlineStr">
        <is>
          <t>2026-06-02</t>
        </is>
      </c>
    </row>
    <row r="66" ht="15" customHeight="1" s="172">
      <c r="A66" s="171" t="inlineStr">
        <is>
          <t>红利低波ETF(512890)</t>
        </is>
      </c>
      <c r="B66" s="171" t="inlineStr">
        <is>
          <t>✅推荐核心仓</t>
        </is>
      </c>
      <c r="C66" s="171" t="inlineStr">
        <is>
          <t>PE~8倍 PB~0.85 股息率~4.7%</t>
        </is>
      </c>
      <c r="D66" s="171" t="inlineStr">
        <is>
          <t>估值合理偏低、股息率是国债3倍、年化13%-15%。适合大仓位底仓，放着不用管</t>
        </is>
      </c>
      <c r="E66" s="171" t="inlineStr">
        <is>
          <t>分6-12个月定投建仓。PE&lt;8正常买，PE&lt;6.5加码买，PE&gt;13或股息率&lt;3%才卖</t>
        </is>
      </c>
      <c r="F66" s="171" t="inlineStr">
        <is>
          <t>当前合理偏低，随时可开始定投</t>
        </is>
      </c>
      <c r="G66" s="171" t="inlineStr">
        <is>
          <t>2026-06-13</t>
        </is>
      </c>
      <c r="H66" s="171" t="inlineStr">
        <is>
          <t>对标巴菲特理念的指数化平民版。50只分散、高分红、低波动、不费心</t>
        </is>
      </c>
    </row>
    <row r="67" ht="77.25" customHeight="1" s="172">
      <c r="A67" s="180" t="inlineStr">
        <is>
          <t>油气对冲</t>
        </is>
      </c>
      <c r="B67" s="180" t="inlineStr">
        <is>
          <t>华宝油气162411</t>
        </is>
      </c>
      <c r="C67" s="180" t="inlineStr">
        <is>
          <t>观察中</t>
        </is>
      </c>
      <c r="D67" s="180" t="inlineStr">
        <is>
          <t>宋鸿兵：霍尔木兹封锁3个月，85%投资者押注回落=幻觉</t>
        </is>
      </c>
      <c r="E67" s="180" t="inlineStr">
        <is>
          <t>油价冲150或海峡持续封锁</t>
        </is>
      </c>
      <c r="F67" s="180" t="inlineStr">
        <is>
          <t>短期</t>
        </is>
      </c>
      <c r="G67" s="180" t="inlineStr">
        <is>
          <t>2026-06-02</t>
        </is>
      </c>
      <c r="H67" s="171" t="inlineStr">
        <is>
          <t>小仓位试水，不对称博弈</t>
        </is>
      </c>
    </row>
    <row r="68" ht="64.5" customHeight="1" s="172">
      <c r="A68" s="180" t="inlineStr">
        <is>
          <t>银行板块(512800)</t>
        </is>
      </c>
      <c r="B68" s="180" t="inlineStr">
        <is>
          <t>弱势</t>
        </is>
      </c>
      <c r="C68" s="180" t="inlineStr">
        <is>
          <t>P:50% 虚P-2pp</t>
        </is>
      </c>
      <c r="D68" s="180" t="inlineStr">
        <is>
          <t>去杠杆+信贷收缩，ETF跌-1%，无催化</t>
        </is>
      </c>
      <c r="E68" s="180" t="inlineStr">
        <is>
          <t>不建议加仓</t>
        </is>
      </c>
      <c r="F68" s="180" t="inlineStr">
        <is>
          <t>短期</t>
        </is>
      </c>
      <c r="G68" s="180" t="inlineStr">
        <is>
          <t>2026-06-03</t>
        </is>
      </c>
      <c r="H68" s="171" t="inlineStr">
        <is>
          <t>银行ETF持续阴跌</t>
        </is>
      </c>
    </row>
    <row r="69" ht="39" customHeight="1" s="172">
      <c r="A69" s="180" t="inlineStr">
        <is>
          <t>人形机器人(562500)</t>
        </is>
      </c>
      <c r="B69" s="180" t="inlineStr">
        <is>
          <t>强势</t>
        </is>
      </c>
      <c r="C69" s="180" t="inlineStr">
        <is>
          <t>P:58%(估)</t>
        </is>
      </c>
      <c r="D69" s="180" t="inlineStr">
        <is>
          <t>宇树科技73天过会，ETF涨+11%</t>
        </is>
      </c>
      <c r="E69" s="180" t="inlineStr">
        <is>
          <t>重点关注</t>
        </is>
      </c>
      <c r="F69" s="180" t="inlineStr">
        <is>
          <t>中期</t>
        </is>
      </c>
      <c r="G69" s="180" t="inlineStr">
        <is>
          <t>2026-06-03</t>
        </is>
      </c>
      <c r="H69" s="171" t="inlineStr">
        <is>
          <t>平安先进制造+永赢先进制造，这个马斯克孙正义孙宇晨认证的超长主线</t>
        </is>
      </c>
    </row>
    <row r="70" ht="102.75" customHeight="1" s="172">
      <c r="A70" s="180" t="inlineStr">
        <is>
          <t>存储赛道(5只A股)</t>
        </is>
      </c>
      <c r="B70" s="180" t="inlineStr">
        <is>
          <t>❌降级观察</t>
        </is>
      </c>
      <c r="C70" s="180" t="inlineStr">
        <is>
          <t>P:55% 安全边际不足</t>
        </is>
      </c>
      <c r="D70" s="180" t="inlineStr">
        <is>
          <t>兆易¥525(+81%)/江波龙¥569/佰维¥341→PE天际线，向上空间&lt;向下空间</t>
        </is>
      </c>
      <c r="E70" s="180" t="inlineStr">
        <is>
          <t>等中期选举大跌15%+</t>
        </is>
      </c>
      <c r="F70" s="180" t="inlineStr">
        <is>
          <t>中期</t>
        </is>
      </c>
      <c r="G70" s="180" t="inlineStr">
        <is>
          <t>2026-06-04</t>
        </is>
      </c>
      <c r="H70" s="171" t="inlineStr">
        <is>
          <t>降级：存储涨完轮到堆叠，安全边际已不足</t>
        </is>
      </c>
    </row>
    <row r="71" ht="64.5" customHeight="1" s="172">
      <c r="A71" s="180" t="inlineStr">
        <is>
          <t>澜起科技(688008)</t>
        </is>
      </c>
      <c r="B71" s="180" t="inlineStr">
        <is>
          <t>❌降级观察</t>
        </is>
      </c>
      <c r="C71" s="180" t="inlineStr">
        <is>
          <t>P:55% 安全边际中等</t>
        </is>
      </c>
      <c r="D71" s="180" t="inlineStr">
        <is>
          <t>DDR5接口芯片，温和上涨，但存储赛道整体降级</t>
        </is>
      </c>
      <c r="E71" s="180" t="inlineStr">
        <is>
          <t>等大跌15%+</t>
        </is>
      </c>
      <c r="F71" s="180" t="inlineStr">
        <is>
          <t>中期</t>
        </is>
      </c>
      <c r="G71" s="180" t="inlineStr">
        <is>
          <t>2026-06-04</t>
        </is>
      </c>
      <c r="H71" s="171" t="inlineStr">
        <is>
          <t>降级：存储赛道尾声</t>
        </is>
      </c>
    </row>
    <row r="72" ht="64.5" customHeight="1" s="172">
      <c r="A72" s="332" t="inlineStr">
        <is>
          <t>🔥堆叠/先进封装赛道（蒋宇飞"星光纯叠"框架）</t>
        </is>
      </c>
    </row>
    <row r="73" ht="90" customHeight="1" s="172">
      <c r="A73" s="180" t="inlineStr">
        <is>
          <t>长电科技(600584)</t>
        </is>
      </c>
      <c r="B73" s="180" t="inlineStr">
        <is>
          <t>🔴核心标的</t>
        </is>
      </c>
      <c r="C73" s="180" t="inlineStr">
        <is>
          <t>P:75%+ PE30x</t>
        </is>
      </c>
      <c r="D73" s="180" t="inlineStr">
        <is>
          <t>全球第三大封测厂，2.5D/3D量产级，客户广度最强（高通/海思/TI）</t>
        </is>
      </c>
      <c r="E73" s="180" t="inlineStr">
        <is>
          <t>等中期选举大跌</t>
        </is>
      </c>
      <c r="F73" s="180" t="inlineStr">
        <is>
          <t>中期</t>
        </is>
      </c>
      <c r="G73" s="180" t="inlineStr">
        <is>
          <t>2026-06-04</t>
        </is>
      </c>
      <c r="H73" s="171" t="inlineStr">
        <is>
          <t>安全边际大，堆叠赛道首选</t>
        </is>
      </c>
    </row>
    <row r="74" ht="90" customHeight="1" s="172">
      <c r="A74" s="180" t="inlineStr">
        <is>
          <t>通富微电(002156)</t>
        </is>
      </c>
      <c r="B74" s="180" t="inlineStr">
        <is>
          <t>🔴核心标的</t>
        </is>
      </c>
      <c r="C74" s="180" t="inlineStr">
        <is>
          <t>P:75%+ 待查PE</t>
        </is>
      </c>
      <c r="D74" s="180" t="inlineStr">
        <is>
          <t>AMD封测全线突破通道，2.5D量产，MI300X参与，不可替代</t>
        </is>
      </c>
      <c r="E74" s="180" t="inlineStr">
        <is>
          <t>等中期选举大跌</t>
        </is>
      </c>
      <c r="F74" s="180" t="inlineStr">
        <is>
          <t>中期</t>
        </is>
      </c>
      <c r="G74" s="180" t="inlineStr">
        <is>
          <t>2026-06-04</t>
        </is>
      </c>
      <c r="H74" s="171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2">
      <c r="A1" s="236" t="inlineStr">
        <is>
          <t>💰 资金分配总纲 (2026-06-07 蒋宇飞179视频+用户判断+机会成本)</t>
        </is>
      </c>
    </row>
    <row r="2" ht="16.5" customHeight="1" s="172">
      <c r="A2" s="171" t="inlineStr">
        <is>
          <t>【Hermes+小龙多轮联合审核】第1轮：小龙审7个问题→第2轮：Hermes反审7个问题→小龙逐条回应修正</t>
        </is>
      </c>
      <c r="B2" s="171" t="n"/>
    </row>
    <row r="3" ht="15" customHeight="1" s="172">
      <c r="B3" s="171" t="n"/>
    </row>
    <row r="4" ht="15" customHeight="1" s="172">
      <c r="A4" s="231" t="inlineStr">
        <is>
          <t>一、资金总览</t>
        </is>
      </c>
      <c r="B4" s="171" t="n"/>
    </row>
    <row r="5" ht="16.5" customHeight="1" s="172">
      <c r="A5" s="333" t="inlineStr">
        <is>
          <t>持仓50%=养殖25%|芯片10%|电池5%|恒科2.5%|有色2.5%|稀金2.5%|银行1.5%</t>
        </is>
      </c>
    </row>
    <row r="6" ht="16.5" customHeight="1" s="172">
      <c r="A6" s="171" t="inlineStr">
        <is>
          <t>现金50%=锁定40%(等11月大跌进长电25+通富20)+可动用10%</t>
        </is>
      </c>
    </row>
    <row r="7" ht="16.5" customHeight="1" s="172">
      <c r="A7" s="171" t="inlineStr">
        <is>
          <t>【资金来源】现金50%+卖恒科2.5%(P=27%)+有色稀金5%(P低)+养殖减半12.5%+芯片可选5%=70-85%。方案消耗75%够覆盖</t>
        </is>
      </c>
    </row>
    <row r="8" ht="15" customHeight="1" s="172">
      <c r="A8" s="171" t="n"/>
    </row>
    <row r="9" ht="16.5" customHeight="1" s="172">
      <c r="A9" s="236" t="inlineStr">
        <is>
          <t>二、蒋宇飞「星光纯叠」框架（顶级置信度，179视频逐条提取）</t>
        </is>
      </c>
    </row>
    <row r="10" ht="16.5" customHeight="1" s="172">
      <c r="A10" s="171" t="inlineStr">
        <is>
          <t>星(芯)=CPU/GPU | 光=光模块 | 纯(存)=DRAM/Flash/HBM/SSD | 叠=CoWoS/2.5D/3D先进封装</t>
        </is>
      </c>
    </row>
    <row r="11" ht="16.5" customHeight="1" s="172">
      <c r="A11" s="171" t="inlineStr">
        <is>
          <t>节奏：光贯穿2026→存储2026吃肉(已验证海力士13倍)→堆叠2027大放。2027算力长城=升腾+长鑫+DeepSeek</t>
        </is>
      </c>
    </row>
    <row r="12" ht="16.5" customHeight="1" s="172">
      <c r="A12" s="171" t="inlineStr">
        <is>
          <t>风控提示：存储将来跌80% | 消费级2027见顶 | HBM分销修正70-80% | 纪律：三成追热点七成等回调</t>
        </is>
      </c>
    </row>
    <row r="14" ht="15" customHeight="1" s="172">
      <c r="A14" s="236" t="inlineStr">
        <is>
          <t>三、各赛道详细操作计划（每个都有来龙去脉）</t>
        </is>
      </c>
    </row>
    <row r="16" ht="16.5" customHeight="1" s="172">
      <c r="A16" s="334" t="inlineStr">
        <is>
          <t>▶ MLCC被动元件 5.5%（含恒科清出2.5%）</t>
        </is>
      </c>
    </row>
    <row r="17" ht="16.5" customHeight="1" s="172">
      <c r="A17" s="171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2">
      <c r="A18" s="171" t="inlineStr">
        <is>
          <t>【买什么】风华高科(000636)≈300股≈8250元。MLCC营收占比58%，最接近纯暴露。不买科技ETF凑合（小龙裁定）</t>
        </is>
      </c>
    </row>
    <row r="19" ht="16.5" customHeight="1" s="172">
      <c r="A19" s="171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2">
      <c r="A20" s="171" t="inlineStr">
        <is>
          <t>【什么时候进】现在（6-7月）</t>
        </is>
      </c>
    </row>
    <row r="21" ht="16.5" customHeight="1" s="172">
      <c r="A21" s="171" t="inlineStr">
        <is>
          <t>【什么时候出】11-12月必须清仓（蒋宇飞说年底见顶）。资金转HBM或堆叠先手</t>
        </is>
      </c>
    </row>
    <row r="22" ht="16.5" customHeight="1" s="172">
      <c r="A22" s="171" t="inlineStr">
        <is>
          <t>【风控】5.5%仓位，错了亏2000-3000不致命。年底不管赚亏都清</t>
        </is>
      </c>
    </row>
    <row r="24" ht="16.5" customHeight="1" s="172">
      <c r="A24" s="240" t="inlineStr">
        <is>
          <t>▶ HBM产业链 5%</t>
        </is>
      </c>
    </row>
    <row r="25" ht="16.5" customHeight="1" s="172">
      <c r="A25" s="171" t="inlineStr">
        <is>
          <t>【为什么买】蒋宇飞"HBM未来1.5-2.5年波涛汹涌""Q4-Q1波澜壮阔热潮"。HBM是AI技术含量最高的存储，目前最紧缺</t>
        </is>
      </c>
    </row>
    <row r="26" ht="16.5" customHeight="1" s="172">
      <c r="A26" s="171" t="inlineStr">
        <is>
          <t>【什么时候进】2026-Q4（10-12月），MLCC清仓后资金转入</t>
        </is>
      </c>
    </row>
    <row r="27" ht="16.5" customHeight="1" s="172">
      <c r="A27" s="171" t="inlineStr">
        <is>
          <t>【什么时候出】2027-Q1热潮结束观察。蒋宇飞说热潮在四季度至明年一季度展开</t>
        </is>
      </c>
    </row>
    <row r="28" ht="16.5" customHeight="1" s="172">
      <c r="A28" s="171" t="inlineStr">
        <is>
          <t>【风控】5%不大。Q4不启动就继续等，不急着进</t>
        </is>
      </c>
    </row>
    <row r="30" ht="16.5" customHeight="1" s="172">
      <c r="A30" s="236" t="inlineStr">
        <is>
          <t>▶ 堆叠/先进封装 长电25%+通富20%=45%（核心重仓）</t>
        </is>
      </c>
    </row>
    <row r="31" ht="16.5" customHeight="1" s="172">
      <c r="A31" s="171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2">
      <c r="A32" s="171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2">
      <c r="A33" s="171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2">
      <c r="A34" s="171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2">
      <c r="A35" s="171" t="inlineStr">
        <is>
          <t>【什么时候进】等11月美股大跌15%+。触发三选一：①达利欧泡沫落地 ②纳指破200日均线 ③中期选举大跌</t>
        </is>
      </c>
    </row>
    <row r="36" ht="16.5" customHeight="1" s="172">
      <c r="A36" s="171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2">
      <c r="A37" s="171" t="inlineStr">
        <is>
          <t>【先手仓位】Q4先建5%（长电3%+通富2%），等回调后进大仓位。符合蒋宇飞"三成追七成等"纪律</t>
        </is>
      </c>
    </row>
    <row r="38" ht="16.5" customHeight="1" s="172">
      <c r="A38" s="171" t="inlineStr">
        <is>
          <t>【风控】45%×70%回撤=31.5%总资金蒸发（蒋宇飞自己说HBM分销修正70-80%）。分三批=赌价格区间胜率翻倍</t>
        </is>
      </c>
    </row>
    <row r="40" ht="16.5" customHeight="1" s="172">
      <c r="A40" s="240" t="inlineStr">
        <is>
          <t>▶ 国产算力/升腾链 8%</t>
        </is>
      </c>
    </row>
    <row r="41" ht="16.5" customHeight="1" s="172">
      <c r="A41" s="171" t="inlineStr">
        <is>
          <t>【为什么买】蒋宇飞"2027算力长城最闪亮""升腾链2027爆发""升腾950明年出货"。工信部要求支持国产芯片</t>
        </is>
      </c>
    </row>
    <row r="42" ht="16.5" customHeight="1" s="172">
      <c r="A42" s="171" t="inlineStr">
        <is>
          <t>【什么时候进】2027年。触发：华为升腾950大批出货/工信部政策加码</t>
        </is>
      </c>
    </row>
    <row r="43" ht="16.5" customHeight="1" s="172">
      <c r="A43" s="171" t="inlineStr">
        <is>
          <t>【风控】等2027，当前只看不动</t>
        </is>
      </c>
    </row>
    <row r="45" ht="16.5" customHeight="1" s="172">
      <c r="A45" s="240" t="inlineStr">
        <is>
          <t>▶ 机器人(物理AI) 4% + 科创AI(027048) 6% = 10%科技前沿</t>
        </is>
      </c>
    </row>
    <row r="46" ht="16.5" customHeight="1" s="172">
      <c r="A46" s="171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2">
      <c r="A47" s="171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2">
      <c r="A48" s="171" t="inlineStr">
        <is>
          <t>【什么时候进】2027冬开始逐步建。机器人是中长期赛道，不急</t>
        </is>
      </c>
    </row>
    <row r="49" ht="16.5" customHeight="1" s="172">
      <c r="A49" s="171" t="inlineStr">
        <is>
          <t>【风控】4%不大。科创AI6%分散风险。合计10%科技前沿暴露，比单一562500更安全</t>
        </is>
      </c>
    </row>
    <row r="50" ht="16.5" customHeight="1" s="172">
      <c r="A50" s="171" t="inlineStr">
        <is>
          <t>批注：机器人似乎被小看了，机器人的确定性是孙宇晨/马斯克/孙正义多顶级信源强烈认证的十年主线。</t>
        </is>
      </c>
    </row>
    <row r="51" ht="16.5" customHeight="1" s="172">
      <c r="A51" s="240" t="inlineStr">
        <is>
          <t>▶ 玻璃基板 2%</t>
        </is>
      </c>
    </row>
    <row r="52" ht="16.5" customHeight="1" s="172">
      <c r="A52" s="171" t="inlineStr">
        <is>
          <t>【为什么买】蒋宇飞"被严重低估即将爆发""两三年热点""业绩2027-H2释放""大规模2028"。两个爆发点：封装+存储</t>
        </is>
      </c>
    </row>
    <row r="53" ht="16.5" customHeight="1" s="172">
      <c r="A53" s="171" t="inlineStr">
        <is>
          <t>【什么时候进】2027年等业绩释放。蒋宇飞说"消息还在送验阶段"</t>
        </is>
      </c>
    </row>
    <row r="54" ht="16.5" customHeight="1" s="172">
      <c r="A54" s="171" t="inlineStr">
        <is>
          <t>【风控】2%观察仓，等消息确认</t>
        </is>
      </c>
    </row>
    <row r="56" ht="15" customHeight="1" s="172">
      <c r="A56" s="236" t="inlineStr">
        <is>
          <t>四、进钱节奏时间线</t>
        </is>
      </c>
    </row>
    <row r="58" ht="15" customHeight="1" s="172">
      <c r="A58" s="335" t="inlineStr">
        <is>
          <t>时间</t>
        </is>
      </c>
      <c r="B58" s="335" t="inlineStr">
        <is>
          <t>进钱操作</t>
        </is>
      </c>
      <c r="C58" s="335" t="inlineStr">
        <is>
          <t>持仓操作</t>
        </is>
      </c>
      <c r="D58" s="335" t="inlineStr">
        <is>
          <t>清仓退出</t>
        </is>
      </c>
      <c r="E58" s="335" t="inlineStr">
        <is>
          <t>可用现金</t>
        </is>
      </c>
    </row>
    <row r="59" ht="16.5" customHeight="1" s="172">
      <c r="A59" s="171" t="inlineStr">
        <is>
          <t>现在-7月</t>
        </is>
      </c>
      <c r="B59" s="171" t="inlineStr">
        <is>
          <t>MLCC5.5%建仓(风华高科)</t>
        </is>
      </c>
      <c r="C59" s="171" t="inlineStr">
        <is>
          <t>芯片10%不动(虚P+3pp)</t>
        </is>
      </c>
      <c r="D59" s="171" t="inlineStr">
        <is>
          <t>-</t>
        </is>
      </c>
      <c r="E59" s="171" t="inlineStr">
        <is>
          <t>~7%</t>
        </is>
      </c>
    </row>
    <row r="60" ht="16.5" customHeight="1" s="172">
      <c r="A60" s="171" t="inlineStr">
        <is>
          <t>8-10月</t>
        </is>
      </c>
      <c r="B60" s="171" t="inlineStr">
        <is>
          <t>MLCC持有享肉</t>
        </is>
      </c>
      <c r="C60" s="171" t="inlineStr">
        <is>
          <t>观察HBM启动信号</t>
        </is>
      </c>
      <c r="D60" s="171" t="inlineStr">
        <is>
          <t>-</t>
        </is>
      </c>
      <c r="E60" s="171" t="inlineStr">
        <is>
          <t>~7%</t>
        </is>
      </c>
    </row>
    <row r="61" ht="16.5" customHeight="1" s="172">
      <c r="A61" s="171" t="inlineStr">
        <is>
          <t>11月大跌</t>
        </is>
      </c>
      <c r="B61" s="171" t="inlineStr">
        <is>
          <t>堆叠三批45%(长电25+通富20)</t>
        </is>
      </c>
      <c r="C61" s="171" t="inlineStr">
        <is>
          <t>MLCC清→HBM5%+堆叠先手5%</t>
        </is>
      </c>
      <c r="D61" s="171" t="inlineStr">
        <is>
          <t>MLCC清</t>
        </is>
      </c>
      <c r="E61" s="171" t="inlineStr">
        <is>
          <t>0%</t>
        </is>
      </c>
    </row>
    <row r="62" ht="16.5" customHeight="1" s="172">
      <c r="A62" s="171" t="inlineStr">
        <is>
          <t>11月没大跌</t>
        </is>
      </c>
      <c r="B62" s="171" t="inlineStr">
        <is>
          <t>堆叠先手5%(长电3+通富2)</t>
        </is>
      </c>
      <c r="C62" s="171" t="inlineStr">
        <is>
          <t>MLCC清→等</t>
        </is>
      </c>
      <c r="D62" s="171" t="inlineStr">
        <is>
          <t>MLCC清</t>
        </is>
      </c>
      <c r="E62" s="171" t="inlineStr">
        <is>
          <t>0-2%</t>
        </is>
      </c>
    </row>
    <row r="63" ht="16.5" customHeight="1" s="172">
      <c r="A63" s="171" t="inlineStr">
        <is>
          <t>1/31仍没大跌</t>
        </is>
      </c>
      <c r="B63" s="171" t="inlineStr">
        <is>
          <t>PlanB：进40%留20%</t>
        </is>
      </c>
      <c r="C63" s="171" t="inlineStr">
        <is>
          <t>等</t>
        </is>
      </c>
      <c r="D63" s="171" t="inlineStr">
        <is>
          <t>-</t>
        </is>
      </c>
      <c r="E63" s="171" t="inlineStr">
        <is>
          <t>~20%</t>
        </is>
      </c>
    </row>
    <row r="64" ht="16.5" customHeight="1" s="172">
      <c r="A64" s="171" t="inlineStr">
        <is>
          <t>2027-Q1</t>
        </is>
      </c>
      <c r="B64" s="171" t="inlineStr">
        <is>
          <t>HBM持有</t>
        </is>
      </c>
      <c r="C64" s="171" t="inlineStr">
        <is>
          <t>堆叠先手持有</t>
        </is>
      </c>
      <c r="D64" s="171" t="inlineStr">
        <is>
          <t>-</t>
        </is>
      </c>
      <c r="E64" s="171" t="inlineStr">
        <is>
          <t>-</t>
        </is>
      </c>
    </row>
    <row r="65" ht="16.5" customHeight="1" s="172">
      <c r="A65" s="171" t="inlineStr">
        <is>
          <t>2027-H2</t>
        </is>
      </c>
      <c r="B65" s="171" t="inlineStr">
        <is>
          <t>升腾8%+玻璃2%</t>
        </is>
      </c>
      <c r="C65" s="171" t="inlineStr">
        <is>
          <t>堆叠满仓躺赢</t>
        </is>
      </c>
      <c r="D65" s="171" t="inlineStr">
        <is>
          <t>-</t>
        </is>
      </c>
      <c r="E65" s="171" t="inlineStr">
        <is>
          <t>-</t>
        </is>
      </c>
    </row>
    <row r="66" ht="16.5" customHeight="1" s="172">
      <c r="A66" s="171" t="inlineStr">
        <is>
          <t>2027冬</t>
        </is>
      </c>
      <c r="B66" s="171" t="inlineStr">
        <is>
          <t>机器人4%+科创AI6%</t>
        </is>
      </c>
      <c r="C66" s="171" t="inlineStr">
        <is>
          <t>算力出海观察</t>
        </is>
      </c>
      <c r="D66" s="171" t="inlineStr">
        <is>
          <t>存储清(跌80%)</t>
        </is>
      </c>
      <c r="E66" s="171" t="inlineStr">
        <is>
          <t>-</t>
        </is>
      </c>
    </row>
    <row r="68" ht="16.5" customHeight="1" s="172">
      <c r="A68" s="236" t="inlineStr">
        <is>
          <t>⚡ 一句话：MLCC5.5%小试→Q4 HBM5%+堆叠先手5%→11月堆叠三批45%→2027升腾8%+机器人4%+玻璃2%+科创AI6%</t>
        </is>
      </c>
    </row>
    <row r="69" ht="16.5" customHeight="1" s="172">
      <c r="A69" s="171" t="inlineStr">
        <is>
          <t>风控底线：45%必须等15%+回调分三批 | MLCC年底必清 | 蒋宇飞纪律'三成追七成等' | PlanB锁到2027-01-31</t>
        </is>
      </c>
    </row>
    <row r="70" ht="16.5" customHeight="1" s="172">
      <c r="A70" s="171" t="inlineStr">
        <is>
          <t>持仓调整：养殖25%→12.5% | 恒科清 | 有色+稀金清 | 芯片可选减半 | 电池+银行不动 | 保留现金~10%</t>
        </is>
      </c>
    </row>
    <row r="71" ht="18" customHeight="1" s="172">
      <c r="A71" s="305" t="inlineStr">
        <is>
          <t>📖 机制库 v3（2026-06-04 经小龙虾审核修订）</t>
        </is>
      </c>
    </row>
    <row r="72" ht="15" customHeight="1" s="172">
      <c r="A72" s="336" t="inlineStr">
        <is>
          <t>[机制3v3] 现金锁定系数（CLC）— 平方衰减版</t>
        </is>
      </c>
    </row>
    <row r="73" ht="39" customHeight="1" s="172">
      <c r="A73" s="337" t="inlineStr">
        <is>
          <t>叫什么</t>
        </is>
      </c>
      <c r="B73" s="180" t="inlineStr">
        <is>
          <t>现金锁定系数（CLC）v3</t>
        </is>
      </c>
    </row>
    <row r="74" ht="51.75" customHeight="1" s="172">
      <c r="A74" s="337" t="inlineStr">
        <is>
          <t>公式</t>
        </is>
      </c>
      <c r="B74" s="180" t="inlineStr">
        <is>
          <t>CLC = 信号概率 × 互锁强度 × 时间衰减²</t>
        </is>
      </c>
    </row>
    <row r="75" ht="39" customHeight="1" s="172">
      <c r="A75" s="337" t="inlineStr">
        <is>
          <t>时间衰减</t>
        </is>
      </c>
      <c r="B75" s="180" t="inlineStr">
        <is>
          <t>T = (距触发月数/12)²</t>
        </is>
      </c>
      <c r="C75" s="180" t="inlineStr">
        <is>
          <t>6月=(5/12)²=0.174</t>
        </is>
      </c>
      <c r="D75" s="180" t="inlineStr">
        <is>
          <t>11月=0</t>
        </is>
      </c>
    </row>
    <row r="76" ht="51.75" customHeight="1" s="172">
      <c r="A76" s="337" t="inlineStr">
        <is>
          <t>为什么平方</t>
        </is>
      </c>
      <c r="B76" s="180" t="inlineStr">
        <is>
          <t>线性衰减导致越近触发日锁得越少（反直觉）</t>
        </is>
      </c>
      <c r="C76" s="180" t="inlineStr">
        <is>
          <t>平方函数：远离时多锁，临近时少锁</t>
        </is>
      </c>
      <c r="D76" s="180" t="inlineStr">
        <is>
          <t>小龙虾审核通过</t>
        </is>
      </c>
    </row>
    <row r="77" ht="39" customHeight="1" s="172">
      <c r="A77" s="337" t="inlineStr">
        <is>
          <t>信号概率</t>
        </is>
      </c>
      <c r="B77" s="180" t="inlineStr">
        <is>
          <t>动态更新，每月审查</t>
        </is>
      </c>
      <c r="C77" s="180" t="inlineStr">
        <is>
          <t>底线55%（达利欧区间下沿）</t>
        </is>
      </c>
      <c r="D77" s="180" t="inlineStr">
        <is>
          <t>上限85%（达利欧区间上沿）</t>
        </is>
      </c>
    </row>
    <row r="78" ht="39" customHeight="1" s="172">
      <c r="A78" s="337" t="inlineStr">
        <is>
          <t>互锁强度</t>
        </is>
      </c>
      <c r="B78" s="180" t="inlineStr">
        <is>
          <t>三源强互锁=1.0</t>
        </is>
      </c>
      <c r="C78" s="180" t="inlineStr">
        <is>
          <t>达利欧6月修正&gt;2次→降级0.85</t>
        </is>
      </c>
      <c r="D78" s="180" t="inlineStr">
        <is>
          <t>有原因修正不降级</t>
        </is>
      </c>
    </row>
    <row r="79" ht="39" customHeight="1" s="172">
      <c r="A79" s="337" t="inlineStr">
        <is>
          <t>当前值</t>
        </is>
      </c>
      <c r="B79" s="180" t="inlineStr">
        <is>
          <t>0.70 × 1.0 × (5/12)² = 0.122</t>
        </is>
      </c>
      <c r="C79" s="180" t="inlineStr">
        <is>
          <t>→ 锁定12.2%现金</t>
        </is>
      </c>
      <c r="D79" s="180" t="inlineStr">
        <is>
          <t>可用87.8%</t>
        </is>
      </c>
    </row>
    <row r="80" ht="15" customHeight="1" s="172">
      <c r="A80" s="337" t="inlineStr">
        <is>
          <t>每月重算</t>
        </is>
      </c>
      <c r="B80" s="312" t="n"/>
      <c r="C80" s="312" t="n"/>
      <c r="D80" s="312" t="n"/>
      <c r="E80" s="312" t="n"/>
      <c r="F80" s="312" t="n"/>
      <c r="G80" s="312" t="n"/>
      <c r="H80" s="313" t="n"/>
    </row>
    <row r="82" ht="15" customHeight="1" s="172">
      <c r="A82" s="336" t="inlineStr">
        <is>
          <t>[机制4v3] 折后仓位计算 — 4级分级版</t>
        </is>
      </c>
    </row>
    <row r="83" ht="51.75" customHeight="1" s="172">
      <c r="A83" s="337" t="inlineStr">
        <is>
          <t>叫什么</t>
        </is>
      </c>
      <c r="B83" s="180" t="inlineStr">
        <is>
          <t>折后仓位（Folded Allocation）v3</t>
        </is>
      </c>
    </row>
    <row r="84" ht="64.5" customHeight="1" s="172">
      <c r="A84" s="337" t="inlineStr">
        <is>
          <t>公式</t>
        </is>
      </c>
      <c r="B84" s="180" t="inlineStr">
        <is>
          <t>折后仓位% = 原目标仓位% × (1 - CLC × β系数)</t>
        </is>
      </c>
    </row>
    <row r="85" ht="51.75" customHeight="1" s="172">
      <c r="A85" s="337" t="inlineStr">
        <is>
          <t>4级分级</t>
        </is>
      </c>
      <c r="B85" s="180" t="inlineStr">
        <is>
          <t>L1高度暴露β=0.8（通富-AMD独供）</t>
        </is>
      </c>
      <c r="C85" s="180" t="inlineStr">
        <is>
          <t>L2中度暴露β=0.5（长电-客户多元）</t>
        </is>
      </c>
    </row>
    <row r="86" ht="39" customHeight="1" s="172">
      <c r="A86" s="337" t="inlineStr">
        <is>
          <t>分级继续</t>
        </is>
      </c>
      <c r="B86" s="180" t="inlineStr">
        <is>
          <t>L3弱相关β=0.1（养殖）</t>
        </is>
      </c>
      <c r="C86" s="180" t="inlineStr">
        <is>
          <t>L4反向受益β=-0.3（黄金）</t>
        </is>
      </c>
    </row>
    <row r="87" ht="39" customHeight="1" s="172">
      <c r="A87" s="337" t="inlineStr">
        <is>
          <t>为什么分级</t>
        </is>
      </c>
      <c r="B87" s="180" t="inlineStr">
        <is>
          <t>不同标的受AI泡沫影响不同</t>
        </is>
      </c>
      <c r="C87" s="180" t="inlineStr">
        <is>
          <t>通富只有AMD一根柱子</t>
        </is>
      </c>
      <c r="D87" s="180" t="inlineStr">
        <is>
          <t>长电客户多元化</t>
        </is>
      </c>
    </row>
    <row r="88" ht="64.5" customHeight="1" s="172">
      <c r="A88" s="337" t="inlineStr">
        <is>
          <t>当前计算</t>
        </is>
      </c>
      <c r="B88" s="180" t="inlineStr">
        <is>
          <t>通富:33%×(1-0.122×0.8)=30.1%</t>
        </is>
      </c>
      <c r="C88" s="180" t="inlineStr">
        <is>
          <t>长电:37%×(1-0.122×0.5)=34.7%</t>
        </is>
      </c>
    </row>
    <row r="89" ht="15" customHeight="1" s="172">
      <c r="A89" s="337" t="inlineStr">
        <is>
          <t>分级逻辑</t>
        </is>
      </c>
      <c r="B89" s="312" t="n"/>
      <c r="C89" s="312" t="n"/>
      <c r="D89" s="312" t="n"/>
      <c r="E89" s="312" t="n"/>
      <c r="F89" s="312" t="n"/>
      <c r="G89" s="312" t="n"/>
      <c r="H89" s="313" t="n"/>
    </row>
    <row r="91" ht="15" customHeight="1" s="172">
      <c r="A91" s="336" t="inlineStr">
        <is>
          <t>[机制5v3] 虚P→实P转换 — 确认窗口+因果链版</t>
        </is>
      </c>
    </row>
    <row r="92" ht="26.25" customHeight="1" s="172">
      <c r="A92" s="337" t="inlineStr">
        <is>
          <t>叫什么</t>
        </is>
      </c>
      <c r="B92" s="180" t="inlineStr">
        <is>
          <t>虚P→实P转换 v3</t>
        </is>
      </c>
    </row>
    <row r="93" ht="51.75" customHeight="1" s="172">
      <c r="A93" s="337" t="inlineStr">
        <is>
          <t>视觉信号</t>
        </is>
      </c>
      <c r="B93" s="180" t="inlineStr">
        <is>
          <t>纳指七姐妹&gt;15%回调（从52周高）</t>
        </is>
      </c>
      <c r="C93" s="180" t="inlineStr">
        <is>
          <t>或破200日均线</t>
        </is>
      </c>
    </row>
    <row r="94" ht="39" customHeight="1" s="172">
      <c r="A94" s="337" t="inlineStr">
        <is>
          <t>确认窗口</t>
        </is>
      </c>
      <c r="B94" s="180" t="inlineStr">
        <is>
          <t>跌穿15%后维持5个交易日不反弹</t>
        </is>
      </c>
      <c r="C94" s="180" t="inlineStr">
        <is>
          <t>防单日噪音和假触发</t>
        </is>
      </c>
      <c r="D94" s="180" t="inlineStr">
        <is>
          <t>小龙虾建议</t>
        </is>
      </c>
    </row>
    <row r="95" ht="39" customHeight="1" s="172">
      <c r="A95" s="337" t="inlineStr">
        <is>
          <t>因果链</t>
        </is>
      </c>
      <c r="B95" s="180" t="inlineStr">
        <is>
          <t>需至少2条佐证：</t>
        </is>
      </c>
      <c r="C95" s="180" t="inlineStr">
        <is>
          <t>①英伟达/AMD下调指引</t>
        </is>
      </c>
      <c r="D95" s="180" t="inlineStr">
        <is>
          <t>②AI ETF资金流出</t>
        </is>
      </c>
    </row>
    <row r="96" ht="26.25" customHeight="1" s="172">
      <c r="A96" s="337" t="inlineStr">
        <is>
          <t>因果链继续</t>
        </is>
      </c>
      <c r="B96" s="180" t="inlineStr">
        <is>
          <t>③投行下调AI评级</t>
        </is>
      </c>
      <c r="C96" s="180" t="inlineStr">
        <is>
          <t>④Mag7裁员/削减开支</t>
        </is>
      </c>
    </row>
    <row r="97" ht="51.75" customHeight="1" s="172">
      <c r="A97" s="337" t="inlineStr">
        <is>
          <t>为什么加因果</t>
        </is>
      </c>
      <c r="B97" s="180" t="inlineStr">
        <is>
          <t>15%下跌可能是地缘冲击不是AI泡沫</t>
        </is>
      </c>
      <c r="C97" s="180" t="inlineStr">
        <is>
          <t>两者操作完全不同</t>
        </is>
      </c>
      <c r="D97" s="180" t="inlineStr">
        <is>
          <t>必须区分原因</t>
        </is>
      </c>
    </row>
    <row r="98" ht="15" customHeight="1" s="172">
      <c r="A98" s="337" t="inlineStr">
        <is>
          <t>转换后</t>
        </is>
      </c>
      <c r="B98" s="312" t="n"/>
      <c r="C98" s="312" t="n"/>
      <c r="D98" s="312" t="n"/>
      <c r="E98" s="312" t="n"/>
      <c r="F98" s="312" t="n"/>
      <c r="G98" s="312" t="n"/>
      <c r="H98" s="313" t="n"/>
    </row>
    <row r="100" ht="15" customHeight="1" s="172">
      <c r="A100" s="338" t="inlineStr">
        <is>
          <t>[信号计分板] 每日更新，驱动信号概率动态调整</t>
        </is>
      </c>
    </row>
    <row r="101" ht="39" customHeight="1" s="172">
      <c r="A101" s="337" t="inlineStr">
        <is>
          <t>泡沫正向信号</t>
        </is>
      </c>
      <c r="B101" s="180" t="inlineStr">
        <is>
          <t>Mag7单日跌&gt;3% → +1</t>
        </is>
      </c>
      <c r="C101" s="180" t="inlineStr">
        <is>
          <t>Mag7月跌&gt;10% → +2</t>
        </is>
      </c>
    </row>
    <row r="102" ht="39" customHeight="1" s="172">
      <c r="B102" s="180" t="inlineStr">
        <is>
          <t>VIX&gt;30 → +2</t>
        </is>
      </c>
      <c r="C102" s="180" t="inlineStr">
        <is>
          <t>AI公司裁员/下调指引 → +1</t>
        </is>
      </c>
    </row>
    <row r="103" ht="39" customHeight="1" s="172">
      <c r="B103" s="180" t="inlineStr">
        <is>
          <t>信用利差&gt;150bp → +2</t>
        </is>
      </c>
    </row>
    <row r="104" ht="29.25" customHeight="1" s="172">
      <c r="A104" s="337" t="inlineStr">
        <is>
          <t>泡沫反向信号</t>
        </is>
      </c>
      <c r="B104" s="180" t="inlineStr">
        <is>
          <t>Mag7单日涨&gt;3% → -1</t>
        </is>
      </c>
      <c r="C104" s="180" t="inlineStr">
        <is>
          <t>Mag7月涨&gt;8% → -2</t>
        </is>
      </c>
    </row>
    <row r="105" ht="26.25" customHeight="1" s="172">
      <c r="B105" s="180" t="inlineStr">
        <is>
          <t>Fed降息 → -2</t>
        </is>
      </c>
      <c r="C105" s="180" t="inlineStr">
        <is>
          <t>AI龙头超预期财报 → -1</t>
        </is>
      </c>
    </row>
    <row r="106" ht="26.25" customHeight="1" s="172">
      <c r="B106" s="180" t="inlineStr">
        <is>
          <t>VIX&lt;15 → -1</t>
        </is>
      </c>
    </row>
    <row r="107" ht="64.5" customHeight="1" s="172">
      <c r="A107" s="337" t="inlineStr">
        <is>
          <t>更新规则</t>
        </is>
      </c>
      <c r="B107" s="180" t="inlineStr">
        <is>
          <t>每月第一天：信号概率=70%+上月净计分×5pp</t>
        </is>
      </c>
      <c r="C107" s="180" t="inlineStr">
        <is>
          <t>底线55%上限85%</t>
        </is>
      </c>
    </row>
    <row r="108" ht="15" customHeight="1" s="172">
      <c r="A108" s="337" t="inlineStr">
        <is>
          <t>Mag7权重</t>
        </is>
      </c>
      <c r="B108" s="312" t="n"/>
      <c r="C108" s="312" t="n"/>
      <c r="D108" s="312" t="n"/>
      <c r="E108" s="312" t="n"/>
      <c r="F108" s="312" t="n"/>
      <c r="G108" s="312" t="n"/>
      <c r="H108" s="313" t="n"/>
    </row>
    <row r="110" ht="15" customHeight="1" s="172">
      <c r="A110" s="338" t="inlineStr">
        <is>
          <t>⚡ 机制v3使用指南</t>
        </is>
      </c>
    </row>
    <row r="111" ht="39" customHeight="1" s="172">
      <c r="A111" s="337" t="inlineStr">
        <is>
          <t>日常看盘</t>
        </is>
      </c>
      <c r="B111" s="180" t="inlineStr">
        <is>
          <t>看机会成本排序Sheet折后仓位</t>
        </is>
      </c>
      <c r="C111" s="180" t="inlineStr">
        <is>
          <t>看现金锁定状态</t>
        </is>
      </c>
    </row>
    <row r="112" ht="26.25" customHeight="1" s="172">
      <c r="A112" s="337" t="inlineStr">
        <is>
          <t>每日更新</t>
        </is>
      </c>
      <c r="B112" s="180" t="inlineStr">
        <is>
          <t>信号计分板逐股计分</t>
        </is>
      </c>
      <c r="C112" s="180" t="inlineStr">
        <is>
          <t>净计分累计</t>
        </is>
      </c>
    </row>
    <row r="113" ht="51.75" customHeight="1" s="172">
      <c r="A113" s="337" t="inlineStr">
        <is>
          <t>每月重算</t>
        </is>
      </c>
      <c r="B113" s="180" t="inlineStr">
        <is>
          <t>①信号概率=70%+净计分×5pp</t>
        </is>
      </c>
      <c r="C113" s="180" t="inlineStr">
        <is>
          <t>②CLC=信号概率×互锁×时间衰减²</t>
        </is>
      </c>
      <c r="D113" s="180" t="inlineStr">
        <is>
          <t>③折后仓位=原仓位×(1-CLC×β)</t>
        </is>
      </c>
    </row>
    <row r="114" ht="39" customHeight="1" s="172">
      <c r="A114" s="337" t="inlineStr">
        <is>
          <t>信号落地</t>
        </is>
      </c>
      <c r="B114" s="180" t="inlineStr">
        <is>
          <t>视觉信号+5日确认+因果链2条</t>
        </is>
      </c>
      <c r="C114" s="180" t="inlineStr">
        <is>
          <t>→虚P转实P</t>
        </is>
      </c>
      <c r="D114" s="180" t="inlineStr">
        <is>
          <t>→CLC=0现金解锁</t>
        </is>
      </c>
    </row>
    <row r="115" ht="51.75" customHeight="1" s="172">
      <c r="A115" s="337" t="inlineStr">
        <is>
          <t>核验计算</t>
        </is>
      </c>
      <c r="B115" s="180" t="inlineStr">
        <is>
          <t>python3 /tmp/mechanism_checker_v3.py</t>
        </is>
      </c>
      <c r="C115" s="180" t="inlineStr">
        <is>
          <t>自动重算所有机制</t>
        </is>
      </c>
    </row>
    <row r="117" ht="16.5" customHeight="1" s="172">
      <c r="A117" s="190" t="inlineStr">
        <is>
          <t>📊 待重仓资金分配策略（动态更新）</t>
        </is>
      </c>
      <c r="B117" s="192" t="n"/>
      <c r="C117" s="192" t="n"/>
      <c r="D117" s="192" t="n"/>
      <c r="E117" s="192" t="n"/>
      <c r="F117" s="192" t="n"/>
      <c r="G117" s="192" t="n"/>
      <c r="H117" s="193" t="n"/>
    </row>
    <row r="118" ht="15" customHeight="1" s="172">
      <c r="A118" s="194" t="inlineStr">
        <is>
          <t>⚠️ 此策略需定期修正：每次监控后/重大事件/价格异动时重新评估。最后更新：2026-06-07</t>
        </is>
      </c>
      <c r="B118" s="192" t="n"/>
      <c r="C118" s="192" t="n"/>
      <c r="D118" s="192" t="n"/>
      <c r="E118" s="192" t="n"/>
      <c r="F118" s="192" t="n"/>
      <c r="G118" s="192" t="n"/>
      <c r="H118" s="193" t="n"/>
    </row>
    <row r="120" ht="15" customHeight="1" s="172">
      <c r="A120" s="196" t="inlineStr">
        <is>
          <t>标的</t>
        </is>
      </c>
      <c r="B120" s="196" t="inlineStr">
        <is>
          <t>分配%</t>
        </is>
      </c>
      <c r="C120" s="196" t="inlineStr">
        <is>
          <t>进入方式</t>
        </is>
      </c>
      <c r="D120" s="196" t="inlineStr">
        <is>
          <t>时间</t>
        </is>
      </c>
      <c r="E120" s="196" t="inlineStr">
        <is>
          <t>优先级</t>
        </is>
      </c>
      <c r="F120" s="196" t="inlineStr">
        <is>
          <t>当前状态</t>
        </is>
      </c>
    </row>
    <row r="121" ht="29.25" customHeight="1" s="172">
      <c r="A121" s="302" t="inlineStr">
        <is>
          <t>MLCC(风华高科)</t>
        </is>
      </c>
      <c r="B121" s="302" t="inlineStr">
        <is>
          <t>5.5%</t>
        </is>
      </c>
      <c r="C121" s="298" t="inlineStr">
        <is>
          <t>一次性建仓</t>
        </is>
      </c>
      <c r="D121" s="298" t="inlineStr">
        <is>
          <t>现在(6-7月)</t>
        </is>
      </c>
      <c r="E121" s="302" t="inlineStr">
        <is>
          <t>1</t>
        </is>
      </c>
      <c r="F121" s="298" t="inlineStr">
        <is>
          <t>刚启动，年底清仓</t>
        </is>
      </c>
    </row>
    <row r="122" ht="43.5" customHeight="1" s="172">
      <c r="A122" s="298" t="inlineStr">
        <is>
          <t>机器人(562500)</t>
        </is>
      </c>
      <c r="B122" s="302" t="inlineStr">
        <is>
          <t>4%</t>
        </is>
      </c>
      <c r="C122" s="298" t="inlineStr">
        <is>
          <t>定投(分3-4次，每次1%)</t>
        </is>
      </c>
      <c r="D122" s="298" t="inlineStr">
        <is>
          <t>现在开始，跌5%加一次</t>
        </is>
      </c>
      <c r="E122" s="302" t="inlineStr">
        <is>
          <t>2</t>
        </is>
      </c>
      <c r="F122" s="298" t="inlineStr">
        <is>
          <t>已涨15%，方向对时机不好</t>
        </is>
      </c>
    </row>
    <row r="123" ht="29.25" customHeight="1" s="172">
      <c r="A123" s="298" t="inlineStr">
        <is>
          <t>油气对冲(162411)</t>
        </is>
      </c>
      <c r="B123" s="302" t="inlineStr">
        <is>
          <t>2%</t>
        </is>
      </c>
      <c r="C123" s="298" t="inlineStr">
        <is>
          <t>小仓位试水</t>
        </is>
      </c>
      <c r="D123" s="298" t="inlineStr">
        <is>
          <t>油价&gt;100时</t>
        </is>
      </c>
      <c r="E123" s="302" t="inlineStr">
        <is>
          <t>3</t>
        </is>
      </c>
      <c r="F123" s="298" t="inlineStr">
        <is>
          <t>霍尔木兹封锁中</t>
        </is>
      </c>
    </row>
    <row r="124" ht="51.75" customHeight="1" s="172">
      <c r="A124" s="298" t="inlineStr">
        <is>
          <t>长电+通富</t>
        </is>
      </c>
      <c r="B124" s="302" t="inlineStr">
        <is>
          <t>45%</t>
        </is>
      </c>
      <c r="C124" s="298" t="inlineStr">
        <is>
          <t>等11月大跌分三批(15+15+15)</t>
        </is>
      </c>
      <c r="D124" s="302" t="inlineStr">
        <is>
          <t>11月中期选举</t>
        </is>
      </c>
      <c r="E124" s="302" t="inlineStr">
        <is>
          <t>4</t>
        </is>
      </c>
      <c r="F124" s="298" t="inlineStr">
        <is>
          <t>最大仓位，必须等回调</t>
        </is>
      </c>
    </row>
    <row r="125" ht="29.25" customHeight="1" s="172">
      <c r="A125" s="302" t="inlineStr">
        <is>
          <t>HBM产业链</t>
        </is>
      </c>
      <c r="B125" s="302" t="inlineStr">
        <is>
          <t>5%</t>
        </is>
      </c>
      <c r="C125" s="302" t="inlineStr">
        <is>
          <t>Q4一次性</t>
        </is>
      </c>
      <c r="D125" s="302" t="inlineStr">
        <is>
          <t>10-12月</t>
        </is>
      </c>
      <c r="E125" s="302" t="inlineStr">
        <is>
          <t>5</t>
        </is>
      </c>
      <c r="F125" s="298" t="inlineStr">
        <is>
          <t>蒋宇飞Q4-Q1热潮</t>
        </is>
      </c>
    </row>
    <row r="126" ht="29.25" customHeight="1" s="172">
      <c r="A126" s="298" t="inlineStr">
        <is>
          <t>玻璃基板</t>
        </is>
      </c>
      <c r="B126" s="302" t="inlineStr">
        <is>
          <t>2%</t>
        </is>
      </c>
      <c r="C126" s="302" t="inlineStr">
        <is>
          <t>2027等业绩</t>
        </is>
      </c>
      <c r="D126" s="302" t="inlineStr">
        <is>
          <t>2027</t>
        </is>
      </c>
      <c r="E126" s="302" t="inlineStr">
        <is>
          <t>6</t>
        </is>
      </c>
      <c r="F126" s="298" t="inlineStr">
        <is>
          <t>消息还在送验阶段</t>
        </is>
      </c>
    </row>
    <row r="128" ht="15" customHeight="1" s="172">
      <c r="A128" s="196" t="inlineStr">
        <is>
          <t>💡 修正规则：</t>
        </is>
      </c>
      <c r="B128" s="192" t="n"/>
      <c r="C128" s="192" t="n"/>
      <c r="D128" s="192" t="n"/>
      <c r="E128" s="192" t="n"/>
      <c r="F128" s="192" t="n"/>
      <c r="G128" s="192" t="n"/>
      <c r="H128" s="193" t="n"/>
    </row>
    <row r="129" ht="15" customHeight="1" s="172">
      <c r="A129" s="302" t="inlineStr">
        <is>
          <t>1. 每次监控后检查：P值变化&gt;5pp → 重新算盈亏比</t>
        </is>
      </c>
      <c r="B129" s="192" t="n"/>
      <c r="C129" s="192" t="n"/>
      <c r="D129" s="192" t="n"/>
      <c r="E129" s="192" t="n"/>
      <c r="F129" s="192" t="n"/>
      <c r="G129" s="192" t="n"/>
      <c r="H129" s="193" t="n"/>
    </row>
    <row r="130" ht="15" customHeight="1" s="172">
      <c r="A130" s="302" t="inlineStr">
        <is>
          <t>2. 价格异动：标的涨&gt;20%或跌&gt;15% → 评估是否调整仓位</t>
        </is>
      </c>
      <c r="B130" s="192" t="n"/>
      <c r="C130" s="192" t="n"/>
      <c r="D130" s="192" t="n"/>
      <c r="E130" s="192" t="n"/>
      <c r="F130" s="192" t="n"/>
      <c r="G130" s="192" t="n"/>
      <c r="H130" s="193" t="n"/>
    </row>
    <row r="131" ht="15" customHeight="1" s="172">
      <c r="A131" s="302" t="inlineStr">
        <is>
          <t>3. 重大事件：新信源/政策/财报 → 重新排序优先级</t>
        </is>
      </c>
      <c r="B131" s="192" t="n"/>
      <c r="C131" s="192" t="n"/>
      <c r="D131" s="192" t="n"/>
      <c r="E131" s="192" t="n"/>
      <c r="F131" s="192" t="n"/>
      <c r="G131" s="192" t="n"/>
      <c r="H131" s="193" t="n"/>
    </row>
    <row r="132" ht="15" customHeight="1" s="172">
      <c r="A132" s="302" t="inlineStr">
        <is>
          <t>4. 机器人定投逻辑：方向确定但短期追高盈亏比差，分批进摊低成本</t>
        </is>
      </c>
      <c r="B132" s="192" t="n"/>
      <c r="C132" s="192" t="n"/>
      <c r="D132" s="192" t="n"/>
      <c r="E132" s="192" t="n"/>
      <c r="F132" s="192" t="n"/>
      <c r="G132" s="192" t="n"/>
      <c r="H132" s="193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1" min="1" max="9"/>
  </cols>
  <sheetData>
    <row r="1" ht="21" customHeight="1" s="172">
      <c r="A1" s="199" t="inlineStr">
        <is>
          <t>持仓盈亏联动分析 (2026-06-09)</t>
        </is>
      </c>
    </row>
    <row r="3" ht="15" customHeight="1" s="172">
      <c r="A3" s="229" t="inlineStr">
        <is>
          <t>一、持仓盈亏总览</t>
        </is>
      </c>
    </row>
    <row r="4" ht="16.5" customHeight="1" s="172">
      <c r="A4" s="292" t="inlineStr">
        <is>
          <t>基金名称</t>
        </is>
      </c>
      <c r="B4" s="292" t="inlineStr">
        <is>
          <t>代码</t>
        </is>
      </c>
      <c r="C4" s="292" t="inlineStr">
        <is>
          <t>成本</t>
        </is>
      </c>
      <c r="D4" s="292" t="inlineStr">
        <is>
          <t>支付宝市值</t>
        </is>
      </c>
      <c r="E4" s="292" t="inlineStr">
        <is>
          <t>持有盈亏%</t>
        </is>
      </c>
      <c r="F4" s="292" t="inlineStr">
        <is>
          <t>API今日涨跌%</t>
        </is>
      </c>
      <c r="G4" s="292" t="inlineStr">
        <is>
          <t>API净值</t>
        </is>
      </c>
      <c r="H4" s="292" t="inlineStr">
        <is>
          <t>P值</t>
        </is>
      </c>
      <c r="I4" s="292" t="inlineStr">
        <is>
          <t>拟合</t>
        </is>
      </c>
      <c r="J4" s="292" t="inlineStr">
        <is>
          <t>诊断</t>
        </is>
      </c>
    </row>
    <row r="5" ht="16.5" customHeight="1" s="172">
      <c r="A5" s="221" t="inlineStr">
        <is>
          <t>汇添富上证科创板芯片ETF联接A</t>
        </is>
      </c>
      <c r="B5" s="221" t="inlineStr">
        <is>
          <t>020628</t>
        </is>
      </c>
      <c r="C5" s="221" t="inlineStr">
        <is>
          <t>3206</t>
        </is>
      </c>
      <c r="D5" s="221" t="inlineStr">
        <is>
          <t>3332</t>
        </is>
      </c>
      <c r="E5" s="221" t="inlineStr">
        <is>
          <t>+3.93%</t>
        </is>
      </c>
      <c r="F5" s="221" t="inlineStr">
        <is>
          <t>+5.39%</t>
        </is>
      </c>
      <c r="G5" s="221" t="inlineStr">
        <is>
          <t>3.2334</t>
        </is>
      </c>
      <c r="H5" s="221" t="inlineStr">
        <is>
          <t>48%</t>
        </is>
      </c>
      <c r="I5" s="221" t="inlineStr">
        <is>
          <t>0分</t>
        </is>
      </c>
      <c r="J5" s="221" t="inlineStr">
        <is>
          <t>拟合失效</t>
        </is>
      </c>
    </row>
    <row r="6" ht="16.5" customHeight="1" s="172">
      <c r="A6" s="221" t="inlineStr">
        <is>
          <t>南方中证电池主题ETF联接A</t>
        </is>
      </c>
      <c r="B6" s="221" t="inlineStr">
        <is>
          <t>018926</t>
        </is>
      </c>
      <c r="C6" s="221" t="inlineStr">
        <is>
          <t>6811</t>
        </is>
      </c>
      <c r="D6" s="221" t="inlineStr">
        <is>
          <t>7220</t>
        </is>
      </c>
      <c r="E6" s="221" t="inlineStr">
        <is>
          <t>+6.01%</t>
        </is>
      </c>
      <c r="F6" s="221" t="inlineStr">
        <is>
          <t>+2.77%</t>
        </is>
      </c>
      <c r="G6" s="221" t="inlineStr">
        <is>
          <t>1.6406</t>
        </is>
      </c>
      <c r="H6" s="221" t="inlineStr">
        <is>
          <t>67%</t>
        </is>
      </c>
      <c r="I6" s="221" t="inlineStr">
        <is>
          <t>0分</t>
        </is>
      </c>
      <c r="J6" s="221" t="inlineStr">
        <is>
          <t>拟合失效</t>
        </is>
      </c>
    </row>
    <row r="7" ht="16.5" customHeight="1" s="172">
      <c r="A7" s="221" t="inlineStr">
        <is>
          <t>天弘恒生科技ETF联接C</t>
        </is>
      </c>
      <c r="B7" s="221" t="inlineStr">
        <is>
          <t>012349</t>
        </is>
      </c>
      <c r="C7" s="221" t="inlineStr">
        <is>
          <t>4822</t>
        </is>
      </c>
      <c r="D7" s="221" t="inlineStr">
        <is>
          <t>4535</t>
        </is>
      </c>
      <c r="E7" s="221" t="inlineStr">
        <is>
          <t>-5.95%</t>
        </is>
      </c>
      <c r="F7" s="221" t="inlineStr">
        <is>
          <t>+0.40%</t>
        </is>
      </c>
      <c r="G7" s="221" t="inlineStr">
        <is>
          <t>0.6437</t>
        </is>
      </c>
      <c r="H7" s="221" t="inlineStr">
        <is>
          <t>33%</t>
        </is>
      </c>
      <c r="I7" s="221" t="inlineStr">
        <is>
          <t>0分</t>
        </is>
      </c>
      <c r="J7" s="221" t="inlineStr">
        <is>
          <t>拟合失效</t>
        </is>
      </c>
    </row>
    <row r="8" ht="16.5" customHeight="1" s="172">
      <c r="A8" s="221" t="inlineStr">
        <is>
          <t>招商中证畜牧养殖ETF联接C</t>
        </is>
      </c>
      <c r="B8" s="221" t="inlineStr">
        <is>
          <t>014415</t>
        </is>
      </c>
      <c r="C8" s="221" t="inlineStr">
        <is>
          <t>4432</t>
        </is>
      </c>
      <c r="D8" s="221" t="inlineStr">
        <is>
          <t>3878</t>
        </is>
      </c>
      <c r="E8" s="221" t="inlineStr">
        <is>
          <t>-12.49%</t>
        </is>
      </c>
      <c r="F8" s="221" t="inlineStr">
        <is>
          <t>-0.24%</t>
        </is>
      </c>
      <c r="G8" s="221" t="inlineStr">
        <is>
          <t>0.7151</t>
        </is>
      </c>
      <c r="H8" s="221" t="inlineStr">
        <is>
          <t>56%</t>
        </is>
      </c>
      <c r="I8" s="221" t="inlineStr">
        <is>
          <t>0分</t>
        </is>
      </c>
      <c r="J8" s="221" t="inlineStr">
        <is>
          <t>虚P过高; 拟合失效; 亏损&gt;10%</t>
        </is>
      </c>
    </row>
    <row r="9" ht="16.5" customHeight="1" s="172">
      <c r="A9" s="221" t="inlineStr">
        <is>
          <t>南方有色金属ETF联接C</t>
        </is>
      </c>
      <c r="B9" s="221" t="inlineStr">
        <is>
          <t>004433</t>
        </is>
      </c>
      <c r="C9" s="221" t="inlineStr">
        <is>
          <t>4800</t>
        </is>
      </c>
      <c r="D9" s="221" t="inlineStr">
        <is>
          <t>4781</t>
        </is>
      </c>
      <c r="E9" s="221" t="inlineStr">
        <is>
          <t>-0.41%</t>
        </is>
      </c>
      <c r="F9" s="221" t="inlineStr">
        <is>
          <t>+2.92%</t>
        </is>
      </c>
      <c r="G9" s="221" t="inlineStr">
        <is>
          <t>1.7383</t>
        </is>
      </c>
      <c r="H9" s="221" t="inlineStr">
        <is>
          <t>39%</t>
        </is>
      </c>
      <c r="I9" s="221" t="inlineStr">
        <is>
          <t>0分</t>
        </is>
      </c>
      <c r="J9" s="221" t="inlineStr">
        <is>
          <t>拟合失效</t>
        </is>
      </c>
    </row>
    <row r="10" ht="16.5" customHeight="1" s="172">
      <c r="A10" s="221" t="inlineStr">
        <is>
          <t>嘉实中证稀有金属主题ETF联接C</t>
        </is>
      </c>
      <c r="B10" s="221" t="inlineStr">
        <is>
          <t>014111</t>
        </is>
      </c>
      <c r="C10" s="221" t="inlineStr">
        <is>
          <t>5822</t>
        </is>
      </c>
      <c r="D10" s="221" t="inlineStr">
        <is>
          <t>5872</t>
        </is>
      </c>
      <c r="E10" s="221" t="inlineStr">
        <is>
          <t>+0.85%</t>
        </is>
      </c>
      <c r="F10" s="221" t="inlineStr">
        <is>
          <t>+4.57%</t>
        </is>
      </c>
      <c r="G10" s="221" t="inlineStr">
        <is>
          <t>0.9959</t>
        </is>
      </c>
      <c r="H10" s="221" t="inlineStr">
        <is>
          <t>41%</t>
        </is>
      </c>
      <c r="I10" s="221" t="inlineStr">
        <is>
          <t>0分</t>
        </is>
      </c>
      <c r="J10" s="221" t="inlineStr">
        <is>
          <t>拟合失效</t>
        </is>
      </c>
    </row>
    <row r="11" ht="16.5" customHeight="1" s="172">
      <c r="A11" s="221" t="inlineStr">
        <is>
          <t>银行ETF联接C</t>
        </is>
      </c>
      <c r="B11" s="221" t="inlineStr">
        <is>
          <t>001595</t>
        </is>
      </c>
      <c r="C11" s="221" t="inlineStr">
        <is>
          <t>0</t>
        </is>
      </c>
      <c r="D11" s="221" t="inlineStr">
        <is>
          <t>0</t>
        </is>
      </c>
      <c r="E11" s="221" t="inlineStr">
        <is>
          <t>+0.00%</t>
        </is>
      </c>
      <c r="F11" s="221" t="inlineStr">
        <is>
          <t>+0.49%</t>
        </is>
      </c>
      <c r="G11" s="221" t="inlineStr">
        <is>
          <t>1.6832</t>
        </is>
      </c>
      <c r="H11" s="221" t="inlineStr">
        <is>
          <t>44%</t>
        </is>
      </c>
      <c r="I11" s="221" t="inlineStr">
        <is>
          <t>0分</t>
        </is>
      </c>
      <c r="J11" s="221" t="inlineStr">
        <is>
          <t>拟合失效</t>
        </is>
      </c>
    </row>
    <row r="12" ht="16.5" customHeight="1" s="172">
      <c r="A12" s="221" t="inlineStr">
        <is>
          <t>景顺长城中证科创创业人工智能ETF</t>
        </is>
      </c>
      <c r="B12" s="221" t="inlineStr">
        <is>
          <t>027048</t>
        </is>
      </c>
      <c r="C12" s="221" t="inlineStr">
        <is>
          <t>101</t>
        </is>
      </c>
      <c r="D12" s="221" t="inlineStr">
        <is>
          <t>99</t>
        </is>
      </c>
      <c r="E12" s="221" t="inlineStr">
        <is>
          <t>-2.23%</t>
        </is>
      </c>
      <c r="F12" s="221" t="inlineStr">
        <is>
          <t>+3.60%</t>
        </is>
      </c>
      <c r="G12" s="221" t="inlineStr">
        <is>
          <t>1.0307</t>
        </is>
      </c>
      <c r="H12" s="221" t="inlineStr">
        <is>
          <t>-</t>
        </is>
      </c>
      <c r="I12" s="221" t="inlineStr">
        <is>
          <t>-</t>
        </is>
      </c>
      <c r="J12" s="221" t="inlineStr">
        <is>
          <t>正常</t>
        </is>
      </c>
    </row>
    <row r="13" ht="16.5" customHeight="1" s="172">
      <c r="A13" s="221" t="inlineStr">
        <is>
          <t>国泰黄金ETF联接A</t>
        </is>
      </c>
      <c r="B13" s="221" t="inlineStr">
        <is>
          <t>000218</t>
        </is>
      </c>
      <c r="C13" s="221" t="inlineStr">
        <is>
          <t>2787</t>
        </is>
      </c>
      <c r="D13" s="221" t="inlineStr">
        <is>
          <t>2594</t>
        </is>
      </c>
      <c r="E13" s="221" t="inlineStr">
        <is>
          <t>-6.92%</t>
        </is>
      </c>
      <c r="F13" s="221" t="inlineStr">
        <is>
          <t>+0.42%</t>
        </is>
      </c>
      <c r="G13" s="221" t="inlineStr">
        <is>
          <t>3.4031</t>
        </is>
      </c>
      <c r="H13" s="221" t="inlineStr">
        <is>
          <t>-</t>
        </is>
      </c>
      <c r="I13" s="221" t="inlineStr">
        <is>
          <t>-</t>
        </is>
      </c>
      <c r="J13" s="221" t="inlineStr">
        <is>
          <t>正常</t>
        </is>
      </c>
    </row>
    <row r="14" ht="16.5" customHeight="1" s="172">
      <c r="A14" s="221" t="inlineStr">
        <is>
          <t>博时黄金ETF联接C</t>
        </is>
      </c>
      <c r="B14" s="221" t="inlineStr">
        <is>
          <t>002611</t>
        </is>
      </c>
      <c r="C14" s="221" t="inlineStr">
        <is>
          <t>3267</t>
        </is>
      </c>
      <c r="D14" s="221" t="inlineStr">
        <is>
          <t>3082</t>
        </is>
      </c>
      <c r="E14" s="221" t="inlineStr">
        <is>
          <t>-5.66%</t>
        </is>
      </c>
      <c r="F14" s="221" t="inlineStr">
        <is>
          <t>+0.42%</t>
        </is>
      </c>
      <c r="G14" s="221" t="inlineStr">
        <is>
          <t>2.9594</t>
        </is>
      </c>
      <c r="H14" s="221" t="inlineStr">
        <is>
          <t>-</t>
        </is>
      </c>
      <c r="I14" s="221" t="inlineStr">
        <is>
          <t>-</t>
        </is>
      </c>
      <c r="J14" s="221" t="inlineStr">
        <is>
          <t>正常</t>
        </is>
      </c>
    </row>
    <row r="15" ht="16.5" customHeight="1" s="172">
      <c r="A15" s="221" t="inlineStr">
        <is>
          <t>建信上海金ETF联接C</t>
        </is>
      </c>
      <c r="B15" s="221" t="inlineStr">
        <is>
          <t>009034</t>
        </is>
      </c>
      <c r="C15" s="221" t="inlineStr">
        <is>
          <t>2939</t>
        </is>
      </c>
      <c r="D15" s="221" t="inlineStr">
        <is>
          <t>2828</t>
        </is>
      </c>
      <c r="E15" s="221" t="inlineStr">
        <is>
          <t>-3.83%</t>
        </is>
      </c>
      <c r="F15" s="221" t="inlineStr">
        <is>
          <t>+0.00%</t>
        </is>
      </c>
      <c r="G15" s="221" t="inlineStr">
        <is>
          <t>2.1717</t>
        </is>
      </c>
      <c r="H15" s="221" t="inlineStr">
        <is>
          <t>-</t>
        </is>
      </c>
      <c r="I15" s="221" t="inlineStr">
        <is>
          <t>-</t>
        </is>
      </c>
      <c r="J15" s="221" t="inlineStr">
        <is>
          <t>正常</t>
        </is>
      </c>
    </row>
    <row r="16" ht="16.5" customHeight="1" s="172">
      <c r="A16" s="221" t="inlineStr">
        <is>
          <t>前海开源金银珠宝混合C</t>
        </is>
      </c>
      <c r="B16" s="221" t="inlineStr">
        <is>
          <t>002207</t>
        </is>
      </c>
      <c r="C16" s="221" t="inlineStr">
        <is>
          <t>8839</t>
        </is>
      </c>
      <c r="D16" s="221" t="inlineStr">
        <is>
          <t>7311</t>
        </is>
      </c>
      <c r="E16" s="221" t="inlineStr">
        <is>
          <t>-17.29%</t>
        </is>
      </c>
      <c r="F16" s="221" t="inlineStr">
        <is>
          <t>+1.08%</t>
        </is>
      </c>
      <c r="G16" s="221" t="inlineStr">
        <is>
          <t>2.336</t>
        </is>
      </c>
      <c r="H16" s="221" t="inlineStr">
        <is>
          <t>-</t>
        </is>
      </c>
      <c r="I16" s="221" t="inlineStr">
        <is>
          <t>-</t>
        </is>
      </c>
      <c r="J16" s="221" t="inlineStr">
        <is>
          <t>亏损&gt;10%</t>
        </is>
      </c>
    </row>
    <row r="18" ht="15" customHeight="1" s="172">
      <c r="A18" s="229" t="inlineStr">
        <is>
          <t>二、事件传导矩阵</t>
        </is>
      </c>
    </row>
    <row r="19" ht="15" customHeight="1" s="172">
      <c r="A19" s="292" t="inlineStr">
        <is>
          <t>源头事件</t>
        </is>
      </c>
      <c r="B19" s="292" t="inlineStr">
        <is>
          <t>品种</t>
        </is>
      </c>
      <c r="C19" s="292" t="inlineStr">
        <is>
          <t>PP</t>
        </is>
      </c>
      <c r="D19" s="292" t="inlineStr">
        <is>
          <t>方向</t>
        </is>
      </c>
    </row>
    <row r="20" ht="16.5" customHeight="1" s="172">
      <c r="A20" s="221" t="inlineStr">
        <is>
          <t>AI/科技</t>
        </is>
      </c>
      <c r="B20" s="221" t="inlineStr">
        <is>
          <t>恒科</t>
        </is>
      </c>
      <c r="C20" s="221" t="inlineStr">
        <is>
          <t>-3pp</t>
        </is>
      </c>
      <c r="D20" s="221" t="inlineStr">
        <is>
          <t>利空</t>
        </is>
      </c>
    </row>
    <row r="21" ht="15" customHeight="1" s="172">
      <c r="A21" s="221" t="n"/>
      <c r="B21" s="221" t="inlineStr">
        <is>
          <t>稀金</t>
        </is>
      </c>
      <c r="C21" s="221" t="inlineStr">
        <is>
          <t>-1pp</t>
        </is>
      </c>
      <c r="D21" s="221" t="inlineStr">
        <is>
          <t>利空</t>
        </is>
      </c>
    </row>
    <row r="22" ht="15" customHeight="1" s="172">
      <c r="A22" s="221" t="n"/>
      <c r="B22" s="221" t="inlineStr">
        <is>
          <t>电池</t>
        </is>
      </c>
      <c r="C22" s="221" t="inlineStr">
        <is>
          <t>+2pp</t>
        </is>
      </c>
      <c r="D22" s="221" t="inlineStr">
        <is>
          <t>利好</t>
        </is>
      </c>
    </row>
    <row r="23" ht="15" customHeight="1" s="172">
      <c r="A23" s="221" t="n"/>
      <c r="B23" s="221" t="inlineStr">
        <is>
          <t>有色</t>
        </is>
      </c>
      <c r="C23" s="221" t="inlineStr">
        <is>
          <t>+2pp</t>
        </is>
      </c>
      <c r="D23" s="221" t="inlineStr">
        <is>
          <t>利好</t>
        </is>
      </c>
    </row>
    <row r="24" ht="15" customHeight="1" s="172">
      <c r="A24" s="221" t="n"/>
      <c r="B24" s="221" t="inlineStr">
        <is>
          <t>芯片</t>
        </is>
      </c>
      <c r="C24" s="221" t="inlineStr">
        <is>
          <t>+10pp</t>
        </is>
      </c>
      <c r="D24" s="221" t="inlineStr">
        <is>
          <t>利好</t>
        </is>
      </c>
    </row>
    <row r="25" ht="16.5" customHeight="1" s="172">
      <c r="A25" s="221" t="inlineStr">
        <is>
          <t>关税/贸易</t>
        </is>
      </c>
      <c r="B25" s="221" t="inlineStr">
        <is>
          <t>有色</t>
        </is>
      </c>
      <c r="C25" s="221" t="inlineStr">
        <is>
          <t>-11pp</t>
        </is>
      </c>
      <c r="D25" s="221" t="inlineStr">
        <is>
          <t>利空</t>
        </is>
      </c>
    </row>
    <row r="26" ht="15" customHeight="1" s="172">
      <c r="A26" s="221" t="n"/>
      <c r="B26" s="221" t="inlineStr">
        <is>
          <t>恒科</t>
        </is>
      </c>
      <c r="C26" s="221" t="inlineStr">
        <is>
          <t>-1pp</t>
        </is>
      </c>
      <c r="D26" s="221" t="inlineStr">
        <is>
          <t>利空</t>
        </is>
      </c>
    </row>
    <row r="27" ht="15" customHeight="1" s="172">
      <c r="A27" s="221" t="n"/>
      <c r="B27" s="221" t="inlineStr">
        <is>
          <t>养殖</t>
        </is>
      </c>
      <c r="C27" s="221" t="inlineStr">
        <is>
          <t>+5pp</t>
        </is>
      </c>
      <c r="D27" s="221" t="inlineStr">
        <is>
          <t>利好</t>
        </is>
      </c>
    </row>
    <row r="28" ht="15" customHeight="1" s="172">
      <c r="A28" s="221" t="inlineStr">
        <is>
          <t>其他</t>
        </is>
      </c>
      <c r="B28" s="221" t="inlineStr">
        <is>
          <t>恒科</t>
        </is>
      </c>
      <c r="C28" s="221" t="inlineStr">
        <is>
          <t>-9pp</t>
        </is>
      </c>
      <c r="D28" s="221" t="inlineStr">
        <is>
          <t>利空</t>
        </is>
      </c>
    </row>
    <row r="29" ht="15" customHeight="1" s="172">
      <c r="A29" s="221" t="n"/>
      <c r="B29" s="221" t="inlineStr">
        <is>
          <t>芯片</t>
        </is>
      </c>
      <c r="C29" s="221" t="inlineStr">
        <is>
          <t>+1pp</t>
        </is>
      </c>
      <c r="D29" s="221" t="inlineStr">
        <is>
          <t>利好</t>
        </is>
      </c>
    </row>
    <row r="30" ht="15" customHeight="1" s="172">
      <c r="A30" s="221" t="n"/>
      <c r="B30" s="221" t="inlineStr">
        <is>
          <t>养殖</t>
        </is>
      </c>
      <c r="C30" s="221" t="inlineStr">
        <is>
          <t>+1pp</t>
        </is>
      </c>
      <c r="D30" s="221" t="inlineStr">
        <is>
          <t>利好</t>
        </is>
      </c>
    </row>
    <row r="31" ht="15" customHeight="1" s="172">
      <c r="A31" s="221" t="n"/>
      <c r="B31" s="221" t="inlineStr">
        <is>
          <t>稀金</t>
        </is>
      </c>
      <c r="C31" s="221" t="inlineStr">
        <is>
          <t>+3pp</t>
        </is>
      </c>
      <c r="D31" s="221" t="inlineStr">
        <is>
          <t>利好</t>
        </is>
      </c>
    </row>
    <row r="32" ht="15" customHeight="1" s="172">
      <c r="A32" s="221" t="n"/>
      <c r="B32" s="221" t="inlineStr">
        <is>
          <t>电池</t>
        </is>
      </c>
      <c r="C32" s="221" t="inlineStr">
        <is>
          <t>+8pp</t>
        </is>
      </c>
      <c r="D32" s="221" t="inlineStr">
        <is>
          <t>利好</t>
        </is>
      </c>
    </row>
    <row r="33" ht="15" customHeight="1" s="172">
      <c r="A33" s="221" t="inlineStr">
        <is>
          <t>利率上行</t>
        </is>
      </c>
      <c r="B33" s="221" t="inlineStr">
        <is>
          <t>银行</t>
        </is>
      </c>
      <c r="C33" s="221" t="inlineStr">
        <is>
          <t>-7pp</t>
        </is>
      </c>
      <c r="D33" s="221" t="inlineStr">
        <is>
          <t>利空</t>
        </is>
      </c>
    </row>
    <row r="34" ht="15" customHeight="1" s="172">
      <c r="A34" s="221" t="n"/>
      <c r="B34" s="221" t="inlineStr">
        <is>
          <t>有色</t>
        </is>
      </c>
      <c r="C34" s="221" t="inlineStr">
        <is>
          <t>-3pp</t>
        </is>
      </c>
      <c r="D34" s="221" t="inlineStr">
        <is>
          <t>利空</t>
        </is>
      </c>
    </row>
    <row r="35" ht="15" customHeight="1" s="172">
      <c r="A35" s="221" t="n"/>
      <c r="B35" s="221" t="inlineStr">
        <is>
          <t>恒科</t>
        </is>
      </c>
      <c r="C35" s="221" t="inlineStr">
        <is>
          <t>-1pp</t>
        </is>
      </c>
      <c r="D35" s="221" t="inlineStr">
        <is>
          <t>利空</t>
        </is>
      </c>
    </row>
    <row r="36" ht="15" customHeight="1" s="172">
      <c r="A36" s="221" t="n"/>
      <c r="B36" s="221" t="inlineStr">
        <is>
          <t>稀金</t>
        </is>
      </c>
      <c r="C36" s="221" t="inlineStr">
        <is>
          <t>+0pp</t>
        </is>
      </c>
      <c r="D36" s="221" t="inlineStr">
        <is>
          <t>中性</t>
        </is>
      </c>
    </row>
    <row r="37" ht="15" customHeight="1" s="172">
      <c r="A37" s="221" t="n"/>
      <c r="B37" s="221" t="inlineStr">
        <is>
          <t>电池</t>
        </is>
      </c>
      <c r="C37" s="221" t="inlineStr">
        <is>
          <t>+1pp</t>
        </is>
      </c>
      <c r="D37" s="221" t="inlineStr">
        <is>
          <t>利好</t>
        </is>
      </c>
    </row>
    <row r="38" ht="16.5" customHeight="1" s="172">
      <c r="A38" s="221" t="inlineStr">
        <is>
          <t>霍尔木兹/能源</t>
        </is>
      </c>
      <c r="B38" s="221" t="inlineStr">
        <is>
          <t>恒科</t>
        </is>
      </c>
      <c r="C38" s="221" t="inlineStr">
        <is>
          <t>-2pp</t>
        </is>
      </c>
      <c r="D38" s="221" t="inlineStr">
        <is>
          <t>利空</t>
        </is>
      </c>
    </row>
    <row r="39" ht="15" customHeight="1" s="172">
      <c r="A39" s="221" t="n"/>
      <c r="B39" s="221" t="inlineStr">
        <is>
          <t>电池</t>
        </is>
      </c>
      <c r="C39" s="221" t="inlineStr">
        <is>
          <t>+9pp</t>
        </is>
      </c>
      <c r="D39" s="221" t="inlineStr">
        <is>
          <t>利好</t>
        </is>
      </c>
    </row>
    <row r="41" ht="15" customHeight="1" s="172">
      <c r="A41" s="229" t="inlineStr">
        <is>
          <t>三、贝叶斯回归诊断</t>
        </is>
      </c>
    </row>
    <row r="42" ht="16.5" customHeight="1" s="172">
      <c r="A42" s="182" t="inlineStr">
        <is>
          <t>P值合理性: 电池65%(97分)✅ 养殖70%(95分但虚高)⚠️ 恒科27%(75分)✅ 芯片41%(0分需修正)❌ 有色39%(0分)❌</t>
        </is>
      </c>
    </row>
    <row r="43" ht="16.5" customHeight="1" s="172">
      <c r="A43" s="182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2026-06-15T08:08:44Z</dcterms:modified>
  <cp:revision>13</cp:revision>
</cp:coreProperties>
</file>